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8.xml" ContentType="application/vnd.openxmlformats-officedocument.spreadsheetml.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hidePivotFieldList="1"/>
  <mc:AlternateContent xmlns:mc="http://schemas.openxmlformats.org/markup-compatibility/2006">
    <mc:Choice Requires="x15">
      <x15ac:absPath xmlns:x15ac="http://schemas.microsoft.com/office/spreadsheetml/2010/11/ac" url="/Users/barrychen/Desktop/2026找工/Projects/"/>
    </mc:Choice>
  </mc:AlternateContent>
  <xr:revisionPtr revIDLastSave="0" documentId="13_ncr:1_{69E2C248-0B45-E340-8DEA-AD11A9CCB5C0}" xr6:coauthVersionLast="47" xr6:coauthVersionMax="47" xr10:uidLastSave="{00000000-0000-0000-0000-000000000000}"/>
  <bookViews>
    <workbookView xWindow="0" yWindow="740" windowWidth="30240" windowHeight="18900" activeTab="5" xr2:uid="{00000000-000D-0000-FFFF-FFFF00000000}"/>
  </bookViews>
  <sheets>
    <sheet name="Sheet1" sheetId="2" r:id="rId1"/>
    <sheet name="Sheet2" sheetId="3" r:id="rId2"/>
    <sheet name="Sheet3" sheetId="4" r:id="rId3"/>
    <sheet name="Cleaned_data" sheetId="1" r:id="rId4"/>
    <sheet name="Dashboard" sheetId="16" r:id="rId5"/>
    <sheet name="buget_scenarios" sheetId="11" r:id="rId6"/>
    <sheet name="Campaign-summary" sheetId="6" r:id="rId7"/>
    <sheet name="Category_analysis" sheetId="13" r:id="rId8"/>
    <sheet name="Daily_analysis" sheetId="15" r:id="rId9"/>
    <sheet name="facebook_tier2" sheetId="7" r:id="rId10"/>
    <sheet name="youtube_blogger" sheetId="8" r:id="rId11"/>
    <sheet name="instagram_tier2" sheetId="14" r:id="rId12"/>
  </sheets>
  <definedNames>
    <definedName name="_xlnm._FilterDatabase" localSheetId="6" hidden="1">'Campaign-summary'!$A$3:$D$15</definedName>
    <definedName name="_xlnm._FilterDatabase" localSheetId="3" hidden="1">Cleaned_data!$A$2:$U$310</definedName>
    <definedName name="_xlnm.Print_Area" localSheetId="4">Dashboard!$A$1:$L$39</definedName>
  </definedNames>
  <calcPr calcId="191029"/>
  <pivotCaches>
    <pivotCache cacheId="0" r:id="rId13"/>
    <pivotCache cacheId="1" r:id="rId14"/>
    <pivotCache cacheId="2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8" i="11" l="1"/>
  <c r="AB57" i="16"/>
  <c r="AB58" i="16"/>
  <c r="AB55" i="16"/>
  <c r="AB56" i="16"/>
  <c r="AC50" i="16"/>
  <c r="AC49" i="16"/>
  <c r="AC48" i="16"/>
  <c r="AC47" i="16"/>
  <c r="AC46" i="16"/>
  <c r="AC45" i="16"/>
  <c r="AC44" i="16"/>
  <c r="AC43" i="16"/>
  <c r="AC42" i="16"/>
  <c r="AC41" i="16"/>
  <c r="AC40" i="16"/>
  <c r="AC39" i="16"/>
  <c r="AC38" i="16"/>
  <c r="AC37" i="16"/>
  <c r="AC36" i="16"/>
  <c r="AC35" i="16"/>
  <c r="AC34" i="16"/>
  <c r="AC33" i="16"/>
  <c r="AC32" i="16"/>
  <c r="AC31" i="16"/>
  <c r="AC30" i="16"/>
  <c r="AC29" i="16"/>
  <c r="AC28" i="16"/>
  <c r="AC27" i="16"/>
  <c r="AC26" i="16"/>
  <c r="AC25" i="16"/>
  <c r="AC24" i="16"/>
  <c r="AC23" i="16"/>
  <c r="AB24" i="16"/>
  <c r="AB25" i="16"/>
  <c r="AB26" i="16"/>
  <c r="AB27" i="16"/>
  <c r="AB28" i="16"/>
  <c r="AB29" i="16"/>
  <c r="AB30" i="16"/>
  <c r="AB31" i="16"/>
  <c r="AB32" i="16"/>
  <c r="AB33" i="16"/>
  <c r="AB34" i="16"/>
  <c r="AB35" i="16"/>
  <c r="AB36" i="16"/>
  <c r="AB37" i="16"/>
  <c r="AB38" i="16"/>
  <c r="AB39" i="16"/>
  <c r="AB40" i="16"/>
  <c r="AB41" i="16"/>
  <c r="AB42" i="16"/>
  <c r="AB43" i="16"/>
  <c r="AB44" i="16"/>
  <c r="AB45" i="16"/>
  <c r="AB46" i="16"/>
  <c r="AB47" i="16"/>
  <c r="AB48" i="16"/>
  <c r="AB49" i="16"/>
  <c r="AB50" i="16"/>
  <c r="AB23" i="16"/>
  <c r="AB9" i="16"/>
  <c r="AB12" i="16"/>
  <c r="AB13" i="16"/>
  <c r="AB11" i="16"/>
  <c r="AB7" i="16"/>
  <c r="AB15" i="16"/>
  <c r="AB14" i="16"/>
  <c r="AB10" i="16"/>
  <c r="AB16" i="16"/>
  <c r="AB8" i="16"/>
  <c r="AB17" i="16"/>
  <c r="N9" i="6"/>
  <c r="J4" i="16"/>
  <c r="F44" i="11"/>
  <c r="F45" i="11"/>
  <c r="F46" i="11"/>
  <c r="F47" i="11"/>
  <c r="F48" i="11"/>
  <c r="F49" i="11"/>
  <c r="F50" i="11"/>
  <c r="F51" i="11"/>
  <c r="F42" i="11"/>
  <c r="E44" i="11"/>
  <c r="E45" i="11"/>
  <c r="E46" i="11"/>
  <c r="E47" i="11"/>
  <c r="E48" i="11"/>
  <c r="E49" i="11"/>
  <c r="E50" i="11"/>
  <c r="E51" i="11"/>
  <c r="E42" i="11"/>
  <c r="D43" i="11"/>
  <c r="E43" i="11" s="1"/>
  <c r="F43" i="11" s="1"/>
  <c r="D44" i="11"/>
  <c r="D45" i="11"/>
  <c r="D46" i="11"/>
  <c r="D47" i="11"/>
  <c r="D48" i="11"/>
  <c r="D49" i="11"/>
  <c r="D50" i="11"/>
  <c r="D51" i="11"/>
  <c r="D52" i="11"/>
  <c r="D42" i="11"/>
  <c r="B53" i="11"/>
  <c r="B43" i="11"/>
  <c r="B44" i="11"/>
  <c r="B45" i="11"/>
  <c r="B46" i="11"/>
  <c r="B47" i="11"/>
  <c r="B48" i="11"/>
  <c r="B49" i="11"/>
  <c r="B50" i="11"/>
  <c r="B51" i="11"/>
  <c r="B52" i="11"/>
  <c r="B42" i="11"/>
  <c r="K19" i="15"/>
  <c r="K18" i="15"/>
  <c r="E5" i="14"/>
  <c r="F5" i="14" s="1"/>
  <c r="E6" i="14"/>
  <c r="F6" i="14" s="1"/>
  <c r="E7" i="14"/>
  <c r="F7" i="14" s="1"/>
  <c r="E8" i="14"/>
  <c r="F8" i="14" s="1"/>
  <c r="E9" i="14"/>
  <c r="F9" i="14" s="1"/>
  <c r="E10" i="14"/>
  <c r="F10" i="14" s="1"/>
  <c r="E11" i="14"/>
  <c r="F11" i="14" s="1"/>
  <c r="E12" i="14"/>
  <c r="F12" i="14" s="1"/>
  <c r="E13" i="14"/>
  <c r="F13" i="14" s="1"/>
  <c r="E14" i="14"/>
  <c r="F14" i="14" s="1"/>
  <c r="E15" i="14"/>
  <c r="F15" i="14" s="1"/>
  <c r="E16" i="14"/>
  <c r="F16" i="14" s="1"/>
  <c r="E17" i="14"/>
  <c r="F17" i="14" s="1"/>
  <c r="E18" i="14"/>
  <c r="F18" i="14" s="1"/>
  <c r="E19" i="14"/>
  <c r="F19" i="14" s="1"/>
  <c r="E20" i="14"/>
  <c r="F20" i="14" s="1"/>
  <c r="E21" i="14"/>
  <c r="F21" i="14" s="1"/>
  <c r="E22" i="14"/>
  <c r="F22" i="14" s="1"/>
  <c r="E23" i="14"/>
  <c r="F23" i="14" s="1"/>
  <c r="E24" i="14"/>
  <c r="F24" i="14" s="1"/>
  <c r="E25" i="14"/>
  <c r="F25" i="14" s="1"/>
  <c r="E26" i="14"/>
  <c r="F26" i="14" s="1"/>
  <c r="E27" i="14"/>
  <c r="F27" i="14" s="1"/>
  <c r="E28" i="14"/>
  <c r="F28" i="14" s="1"/>
  <c r="E29" i="14"/>
  <c r="F29" i="14" s="1"/>
  <c r="E30" i="14"/>
  <c r="F30" i="14" s="1"/>
  <c r="E31" i="14"/>
  <c r="F31" i="14" s="1"/>
  <c r="E32" i="14"/>
  <c r="F32" i="14" s="1"/>
  <c r="E4" i="14"/>
  <c r="F4" i="14" s="1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4" i="14"/>
  <c r="M4" i="13"/>
  <c r="M5" i="13"/>
  <c r="M6" i="13"/>
  <c r="M7" i="13"/>
  <c r="M8" i="13"/>
  <c r="L5" i="13"/>
  <c r="L6" i="13"/>
  <c r="L7" i="13"/>
  <c r="L8" i="13"/>
  <c r="L4" i="13"/>
  <c r="K5" i="13"/>
  <c r="K6" i="13"/>
  <c r="K7" i="13"/>
  <c r="K8" i="13"/>
  <c r="K4" i="13"/>
  <c r="J5" i="13"/>
  <c r="J6" i="13"/>
  <c r="J7" i="13"/>
  <c r="J8" i="13"/>
  <c r="J4" i="13"/>
  <c r="I5" i="13"/>
  <c r="I6" i="13"/>
  <c r="I7" i="13"/>
  <c r="I8" i="13"/>
  <c r="I4" i="13"/>
  <c r="K11" i="6"/>
  <c r="M5" i="6"/>
  <c r="M6" i="6"/>
  <c r="M7" i="6"/>
  <c r="M8" i="6"/>
  <c r="M9" i="6"/>
  <c r="M10" i="6"/>
  <c r="M11" i="6"/>
  <c r="M12" i="6"/>
  <c r="M13" i="6"/>
  <c r="M14" i="6"/>
  <c r="M15" i="6"/>
  <c r="M4" i="6"/>
  <c r="H5" i="13"/>
  <c r="H6" i="13"/>
  <c r="H7" i="13"/>
  <c r="H8" i="13"/>
  <c r="H4" i="13"/>
  <c r="G5" i="13"/>
  <c r="G6" i="13"/>
  <c r="G7" i="13"/>
  <c r="G8" i="13"/>
  <c r="G4" i="13"/>
  <c r="R4" i="6"/>
  <c r="R5" i="6"/>
  <c r="R6" i="6"/>
  <c r="R7" i="6"/>
  <c r="R8" i="6"/>
  <c r="R9" i="6"/>
  <c r="R10" i="6"/>
  <c r="R11" i="6"/>
  <c r="R12" i="6"/>
  <c r="R13" i="6"/>
  <c r="R14" i="6"/>
  <c r="R15" i="6"/>
  <c r="Q5" i="6"/>
  <c r="Q6" i="6"/>
  <c r="Q7" i="6"/>
  <c r="Q8" i="6"/>
  <c r="Q9" i="6"/>
  <c r="Q10" i="6"/>
  <c r="Q11" i="6"/>
  <c r="Q12" i="6"/>
  <c r="Q13" i="6"/>
  <c r="Q14" i="6"/>
  <c r="Q15" i="6"/>
  <c r="Q4" i="6"/>
  <c r="L5" i="6"/>
  <c r="L6" i="6"/>
  <c r="L7" i="6"/>
  <c r="L8" i="6"/>
  <c r="L9" i="6"/>
  <c r="L10" i="6"/>
  <c r="L11" i="6"/>
  <c r="L12" i="6"/>
  <c r="L13" i="6"/>
  <c r="L14" i="6"/>
  <c r="L15" i="6"/>
  <c r="L4" i="6"/>
  <c r="K5" i="6"/>
  <c r="K6" i="6"/>
  <c r="K7" i="6"/>
  <c r="K8" i="6"/>
  <c r="K9" i="6"/>
  <c r="K10" i="6"/>
  <c r="K12" i="6"/>
  <c r="K13" i="6"/>
  <c r="K14" i="6"/>
  <c r="K15" i="6"/>
  <c r="K4" i="6"/>
  <c r="J7" i="6"/>
  <c r="J8" i="6"/>
  <c r="J9" i="6"/>
  <c r="J10" i="6"/>
  <c r="J11" i="6"/>
  <c r="J12" i="6"/>
  <c r="J13" i="6"/>
  <c r="J14" i="6"/>
  <c r="J15" i="6"/>
  <c r="J5" i="6"/>
  <c r="J6" i="6"/>
  <c r="J4" i="6"/>
  <c r="I5" i="6"/>
  <c r="I6" i="6"/>
  <c r="I7" i="6"/>
  <c r="I8" i="6"/>
  <c r="I9" i="6"/>
  <c r="I10" i="6"/>
  <c r="I11" i="6"/>
  <c r="I12" i="6"/>
  <c r="I13" i="6"/>
  <c r="I14" i="6"/>
  <c r="I15" i="6"/>
  <c r="I4" i="6"/>
  <c r="H5" i="6"/>
  <c r="H6" i="6"/>
  <c r="H7" i="6"/>
  <c r="H8" i="6"/>
  <c r="H9" i="6"/>
  <c r="H10" i="6"/>
  <c r="H11" i="6"/>
  <c r="H12" i="6"/>
  <c r="H13" i="6"/>
  <c r="H14" i="6"/>
  <c r="H15" i="6"/>
  <c r="H4" i="6"/>
  <c r="B4" i="11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4" i="8"/>
  <c r="B5" i="11" s="1"/>
  <c r="B9" i="11" s="1"/>
  <c r="N3" i="1"/>
  <c r="P3" i="1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4" i="7"/>
  <c r="I33" i="7"/>
  <c r="I32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4" i="7"/>
  <c r="N5" i="6"/>
  <c r="N6" i="6"/>
  <c r="N7" i="6"/>
  <c r="B18" i="11" s="1"/>
  <c r="C18" i="11" s="1"/>
  <c r="N8" i="6"/>
  <c r="B19" i="11"/>
  <c r="C19" i="11" s="1"/>
  <c r="N10" i="6"/>
  <c r="B20" i="11" s="1"/>
  <c r="C20" i="11" s="1"/>
  <c r="N11" i="6"/>
  <c r="N12" i="6"/>
  <c r="N13" i="6"/>
  <c r="N14" i="6"/>
  <c r="B13" i="11" s="1"/>
  <c r="C13" i="11" s="1"/>
  <c r="N15" i="6"/>
  <c r="N4" i="6"/>
  <c r="B15" i="11" s="1"/>
  <c r="C15" i="11" s="1"/>
  <c r="O5" i="6"/>
  <c r="O6" i="6"/>
  <c r="O7" i="6"/>
  <c r="O8" i="6"/>
  <c r="O9" i="6"/>
  <c r="O10" i="6"/>
  <c r="O11" i="6"/>
  <c r="O12" i="6"/>
  <c r="O13" i="6"/>
  <c r="O14" i="6"/>
  <c r="O15" i="6"/>
  <c r="O4" i="6"/>
  <c r="P5" i="6"/>
  <c r="P6" i="6"/>
  <c r="P7" i="6"/>
  <c r="P8" i="6"/>
  <c r="P9" i="6"/>
  <c r="P10" i="6"/>
  <c r="P11" i="6"/>
  <c r="P12" i="6"/>
  <c r="P13" i="6"/>
  <c r="P14" i="6"/>
  <c r="P15" i="6"/>
  <c r="P4" i="6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3" i="1"/>
  <c r="J298" i="1"/>
  <c r="J235" i="1"/>
  <c r="J203" i="1"/>
  <c r="J5" i="1"/>
  <c r="J52" i="1"/>
  <c r="J194" i="1"/>
  <c r="J267" i="1"/>
  <c r="J28" i="1"/>
  <c r="J252" i="1"/>
  <c r="J79" i="1"/>
  <c r="J80" i="1"/>
  <c r="J294" i="1"/>
  <c r="J243" i="1"/>
  <c r="J253" i="1"/>
  <c r="J6" i="1"/>
  <c r="J67" i="1"/>
  <c r="J47" i="1"/>
  <c r="J262" i="1"/>
  <c r="J142" i="1"/>
  <c r="J189" i="1"/>
  <c r="J180" i="1"/>
  <c r="J154" i="1"/>
  <c r="J285" i="1"/>
  <c r="J234" i="1"/>
  <c r="J204" i="1"/>
  <c r="J13" i="1"/>
  <c r="J60" i="1"/>
  <c r="J81" i="1"/>
  <c r="J263" i="1"/>
  <c r="J20" i="1"/>
  <c r="J237" i="1"/>
  <c r="J30" i="1"/>
  <c r="J82" i="1"/>
  <c r="J301" i="1"/>
  <c r="J205" i="1"/>
  <c r="J158" i="1"/>
  <c r="J44" i="1"/>
  <c r="J171" i="1"/>
  <c r="J163" i="1"/>
  <c r="J268" i="1"/>
  <c r="J83" i="1"/>
  <c r="J198" i="1"/>
  <c r="J146" i="1"/>
  <c r="J55" i="1"/>
  <c r="J295" i="1"/>
  <c r="J206" i="1"/>
  <c r="J207" i="1"/>
  <c r="J7" i="1"/>
  <c r="J84" i="1"/>
  <c r="J85" i="1"/>
  <c r="J269" i="1"/>
  <c r="J33" i="1"/>
  <c r="J149" i="1"/>
  <c r="J34" i="1"/>
  <c r="J195" i="1"/>
  <c r="J289" i="1"/>
  <c r="J156" i="1"/>
  <c r="J208" i="1"/>
  <c r="J15" i="1"/>
  <c r="J86" i="1"/>
  <c r="J157" i="1"/>
  <c r="J259" i="1"/>
  <c r="J87" i="1"/>
  <c r="J152" i="1"/>
  <c r="J130" i="1"/>
  <c r="J88" i="1"/>
  <c r="J293" i="1"/>
  <c r="J209" i="1"/>
  <c r="J185" i="1"/>
  <c r="J31" i="1"/>
  <c r="J89" i="1"/>
  <c r="J133" i="1"/>
  <c r="J270" i="1"/>
  <c r="J90" i="1"/>
  <c r="J196" i="1"/>
  <c r="J63" i="1"/>
  <c r="J91" i="1"/>
  <c r="J291" i="1"/>
  <c r="J143" i="1"/>
  <c r="J191" i="1"/>
  <c r="J16" i="1"/>
  <c r="J92" i="1"/>
  <c r="J172" i="1"/>
  <c r="J256" i="1"/>
  <c r="J135" i="1"/>
  <c r="J140" i="1"/>
  <c r="J24" i="1"/>
  <c r="J93" i="1"/>
  <c r="J306" i="1"/>
  <c r="J166" i="1"/>
  <c r="J244" i="1"/>
  <c r="J27" i="1"/>
  <c r="J155" i="1"/>
  <c r="J35" i="1"/>
  <c r="J271" i="1"/>
  <c r="J131" i="1"/>
  <c r="J236" i="1"/>
  <c r="J64" i="1"/>
  <c r="J94" i="1"/>
  <c r="J309" i="1"/>
  <c r="J210" i="1"/>
  <c r="J211" i="1"/>
  <c r="J41" i="1"/>
  <c r="J129" i="1"/>
  <c r="J95" i="1"/>
  <c r="J281" i="1"/>
  <c r="J148" i="1"/>
  <c r="J254" i="1"/>
  <c r="J48" i="1"/>
  <c r="J46" i="1"/>
  <c r="J286" i="1"/>
  <c r="J212" i="1"/>
  <c r="J213" i="1"/>
  <c r="J26" i="1"/>
  <c r="J177" i="1"/>
  <c r="J159" i="1"/>
  <c r="J272" i="1"/>
  <c r="J61" i="1"/>
  <c r="J214" i="1"/>
  <c r="J96" i="1"/>
  <c r="J97" i="1"/>
  <c r="J297" i="1"/>
  <c r="J242" i="1"/>
  <c r="J215" i="1"/>
  <c r="J18" i="1"/>
  <c r="J132" i="1"/>
  <c r="J42" i="1"/>
  <c r="J279" i="1"/>
  <c r="J69" i="1"/>
  <c r="J230" i="1"/>
  <c r="J98" i="1"/>
  <c r="J134" i="1"/>
  <c r="J305" i="1"/>
  <c r="J240" i="1"/>
  <c r="J164" i="1"/>
  <c r="J62" i="1"/>
  <c r="J99" i="1"/>
  <c r="J153" i="1"/>
  <c r="J273" i="1"/>
  <c r="J100" i="1"/>
  <c r="J248" i="1"/>
  <c r="J101" i="1"/>
  <c r="J102" i="1"/>
  <c r="J307" i="1"/>
  <c r="J169" i="1"/>
  <c r="J216" i="1"/>
  <c r="J57" i="1"/>
  <c r="J103" i="1"/>
  <c r="J104" i="1"/>
  <c r="J264" i="1"/>
  <c r="J105" i="1"/>
  <c r="J183" i="1"/>
  <c r="J106" i="1"/>
  <c r="J45" i="1"/>
  <c r="J296" i="1"/>
  <c r="J138" i="1"/>
  <c r="J139" i="1"/>
  <c r="J14" i="1"/>
  <c r="J107" i="1"/>
  <c r="J73" i="1"/>
  <c r="J257" i="1"/>
  <c r="J108" i="1"/>
  <c r="J217" i="1"/>
  <c r="J72" i="1"/>
  <c r="J23" i="1"/>
  <c r="J303" i="1"/>
  <c r="J176" i="1"/>
  <c r="J200" i="1"/>
  <c r="J37" i="1"/>
  <c r="J109" i="1"/>
  <c r="J161" i="1"/>
  <c r="J258" i="1"/>
  <c r="J36" i="1"/>
  <c r="J233" i="1"/>
  <c r="J39" i="1"/>
  <c r="J66" i="1"/>
  <c r="J300" i="1"/>
  <c r="J228" i="1"/>
  <c r="J241" i="1"/>
  <c r="J8" i="1"/>
  <c r="J29" i="1"/>
  <c r="J110" i="1"/>
  <c r="J282" i="1"/>
  <c r="J53" i="1"/>
  <c r="J251" i="1"/>
  <c r="J71" i="1"/>
  <c r="J111" i="1"/>
  <c r="J287" i="1"/>
  <c r="J218" i="1"/>
  <c r="J219" i="1"/>
  <c r="J40" i="1"/>
  <c r="J49" i="1"/>
  <c r="J112" i="1"/>
  <c r="J274" i="1"/>
  <c r="J113" i="1"/>
  <c r="J220" i="1"/>
  <c r="J68" i="1"/>
  <c r="J114" i="1"/>
  <c r="J304" i="1"/>
  <c r="J250" i="1"/>
  <c r="J151" i="1"/>
  <c r="J32" i="1"/>
  <c r="J115" i="1"/>
  <c r="J136" i="1"/>
  <c r="J261" i="1"/>
  <c r="J116" i="1"/>
  <c r="J144" i="1"/>
  <c r="J74" i="1"/>
  <c r="J150" i="1"/>
  <c r="J284" i="1"/>
  <c r="J221" i="1"/>
  <c r="J222" i="1"/>
  <c r="J9" i="1"/>
  <c r="J175" i="1"/>
  <c r="J54" i="1"/>
  <c r="J275" i="1"/>
  <c r="J117" i="1"/>
  <c r="J239" i="1"/>
  <c r="J19" i="1"/>
  <c r="J70" i="1"/>
  <c r="J310" i="1"/>
  <c r="J223" i="1"/>
  <c r="J224" i="1"/>
  <c r="J3" i="1"/>
  <c r="J21" i="1"/>
  <c r="J59" i="1"/>
  <c r="J265" i="1"/>
  <c r="J118" i="1"/>
  <c r="J167" i="1"/>
  <c r="J43" i="1"/>
  <c r="J119" i="1"/>
  <c r="J302" i="1"/>
  <c r="J225" i="1"/>
  <c r="J249" i="1"/>
  <c r="J56" i="1"/>
  <c r="J128" i="1"/>
  <c r="J186" i="1"/>
  <c r="J276" i="1"/>
  <c r="J184" i="1"/>
  <c r="J231" i="1"/>
  <c r="J51" i="1"/>
  <c r="J182" i="1"/>
  <c r="J308" i="1"/>
  <c r="J178" i="1"/>
  <c r="J188" i="1"/>
  <c r="J25" i="1"/>
  <c r="J120" i="1"/>
  <c r="J121" i="1"/>
  <c r="J277" i="1"/>
  <c r="J174" i="1"/>
  <c r="J197" i="1"/>
  <c r="J122" i="1"/>
  <c r="J193" i="1"/>
  <c r="J290" i="1"/>
  <c r="J226" i="1"/>
  <c r="J247" i="1"/>
  <c r="J12" i="1"/>
  <c r="J162" i="1"/>
  <c r="J65" i="1"/>
  <c r="J278" i="1"/>
  <c r="J123" i="1"/>
  <c r="J238" i="1"/>
  <c r="J170" i="1"/>
  <c r="J124" i="1"/>
  <c r="J288" i="1"/>
  <c r="J232" i="1"/>
  <c r="J173" i="1"/>
  <c r="J10" i="1"/>
  <c r="J17" i="1"/>
  <c r="J125" i="1"/>
  <c r="J260" i="1"/>
  <c r="J137" i="1"/>
  <c r="J227" i="1"/>
  <c r="J141" i="1"/>
  <c r="J147" i="1"/>
  <c r="J292" i="1"/>
  <c r="J187" i="1"/>
  <c r="J245" i="1"/>
  <c r="J38" i="1"/>
  <c r="J126" i="1"/>
  <c r="J127" i="1"/>
  <c r="J255" i="1"/>
  <c r="J192" i="1"/>
  <c r="J160" i="1"/>
  <c r="J190" i="1"/>
  <c r="J22" i="1"/>
  <c r="J299" i="1"/>
  <c r="J199" i="1"/>
  <c r="J145" i="1"/>
  <c r="J11" i="1"/>
  <c r="J165" i="1"/>
  <c r="J266" i="1"/>
  <c r="J179" i="1"/>
  <c r="J201" i="1"/>
  <c r="J50" i="1"/>
  <c r="J75" i="1"/>
  <c r="J283" i="1"/>
  <c r="J229" i="1"/>
  <c r="J246" i="1"/>
  <c r="J4" i="1"/>
  <c r="J76" i="1"/>
  <c r="J58" i="1"/>
  <c r="J280" i="1"/>
  <c r="J168" i="1"/>
  <c r="J202" i="1"/>
  <c r="J77" i="1"/>
  <c r="J78" i="1"/>
  <c r="J181" i="1"/>
  <c r="P251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206" i="1"/>
  <c r="R207" i="1"/>
  <c r="R208" i="1"/>
  <c r="R209" i="1"/>
  <c r="R210" i="1"/>
  <c r="R211" i="1"/>
  <c r="R212" i="1"/>
  <c r="R213" i="1"/>
  <c r="R214" i="1"/>
  <c r="R3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4" i="1"/>
  <c r="R5" i="1"/>
  <c r="R6" i="1"/>
  <c r="R7" i="1"/>
  <c r="R8" i="1"/>
  <c r="R9" i="1"/>
  <c r="R10" i="1"/>
  <c r="L239" i="1"/>
  <c r="L19" i="1"/>
  <c r="L70" i="1"/>
  <c r="L310" i="1"/>
  <c r="L223" i="1"/>
  <c r="L224" i="1"/>
  <c r="L3" i="1"/>
  <c r="L21" i="1"/>
  <c r="L59" i="1"/>
  <c r="L265" i="1"/>
  <c r="L118" i="1"/>
  <c r="L167" i="1"/>
  <c r="L43" i="1"/>
  <c r="L119" i="1"/>
  <c r="L302" i="1"/>
  <c r="L225" i="1"/>
  <c r="L249" i="1"/>
  <c r="L56" i="1"/>
  <c r="L128" i="1"/>
  <c r="L186" i="1"/>
  <c r="L276" i="1"/>
  <c r="L184" i="1"/>
  <c r="L231" i="1"/>
  <c r="L51" i="1"/>
  <c r="L182" i="1"/>
  <c r="L308" i="1"/>
  <c r="L178" i="1"/>
  <c r="L188" i="1"/>
  <c r="L25" i="1"/>
  <c r="L120" i="1"/>
  <c r="L121" i="1"/>
  <c r="L277" i="1"/>
  <c r="L174" i="1"/>
  <c r="L197" i="1"/>
  <c r="L122" i="1"/>
  <c r="L193" i="1"/>
  <c r="L290" i="1"/>
  <c r="L226" i="1"/>
  <c r="L247" i="1"/>
  <c r="L12" i="1"/>
  <c r="L162" i="1"/>
  <c r="L65" i="1"/>
  <c r="L278" i="1"/>
  <c r="L123" i="1"/>
  <c r="L238" i="1"/>
  <c r="L170" i="1"/>
  <c r="L124" i="1"/>
  <c r="L288" i="1"/>
  <c r="L232" i="1"/>
  <c r="L173" i="1"/>
  <c r="L10" i="1"/>
  <c r="L17" i="1"/>
  <c r="L125" i="1"/>
  <c r="L260" i="1"/>
  <c r="L137" i="1"/>
  <c r="L227" i="1"/>
  <c r="L141" i="1"/>
  <c r="L147" i="1"/>
  <c r="L292" i="1"/>
  <c r="L187" i="1"/>
  <c r="L245" i="1"/>
  <c r="L38" i="1"/>
  <c r="L126" i="1"/>
  <c r="L127" i="1"/>
  <c r="L255" i="1"/>
  <c r="L192" i="1"/>
  <c r="L160" i="1"/>
  <c r="L190" i="1"/>
  <c r="L22" i="1"/>
  <c r="L299" i="1"/>
  <c r="L199" i="1"/>
  <c r="L145" i="1"/>
  <c r="L11" i="1"/>
  <c r="L6" i="1"/>
  <c r="L67" i="1"/>
  <c r="L47" i="1"/>
  <c r="L262" i="1"/>
  <c r="L142" i="1"/>
  <c r="L189" i="1"/>
  <c r="L180" i="1"/>
  <c r="L154" i="1"/>
  <c r="L285" i="1"/>
  <c r="L234" i="1"/>
  <c r="L204" i="1"/>
  <c r="L13" i="1"/>
  <c r="L60" i="1"/>
  <c r="L81" i="1"/>
  <c r="L263" i="1"/>
  <c r="L20" i="1"/>
  <c r="L237" i="1"/>
  <c r="L30" i="1"/>
  <c r="L82" i="1"/>
  <c r="L301" i="1"/>
  <c r="L205" i="1"/>
  <c r="L158" i="1"/>
  <c r="L44" i="1"/>
  <c r="L171" i="1"/>
  <c r="L163" i="1"/>
  <c r="L268" i="1"/>
  <c r="L83" i="1"/>
  <c r="L198" i="1"/>
  <c r="L146" i="1"/>
  <c r="L55" i="1"/>
  <c r="L295" i="1"/>
  <c r="L206" i="1"/>
  <c r="L207" i="1"/>
  <c r="L7" i="1"/>
  <c r="L84" i="1"/>
  <c r="L85" i="1"/>
  <c r="L269" i="1"/>
  <c r="L33" i="1"/>
  <c r="L149" i="1"/>
  <c r="L34" i="1"/>
  <c r="L195" i="1"/>
  <c r="L289" i="1"/>
  <c r="L156" i="1"/>
  <c r="L208" i="1"/>
  <c r="L15" i="1"/>
  <c r="L86" i="1"/>
  <c r="L157" i="1"/>
  <c r="L259" i="1"/>
  <c r="L87" i="1"/>
  <c r="L152" i="1"/>
  <c r="L130" i="1"/>
  <c r="L88" i="1"/>
  <c r="L293" i="1"/>
  <c r="L209" i="1"/>
  <c r="L185" i="1"/>
  <c r="L31" i="1"/>
  <c r="L89" i="1"/>
  <c r="L133" i="1"/>
  <c r="L270" i="1"/>
  <c r="L90" i="1"/>
  <c r="L196" i="1"/>
  <c r="L63" i="1"/>
  <c r="L91" i="1"/>
  <c r="L291" i="1"/>
  <c r="L143" i="1"/>
  <c r="L191" i="1"/>
  <c r="L16" i="1"/>
  <c r="L92" i="1"/>
  <c r="L172" i="1"/>
  <c r="L256" i="1"/>
  <c r="L135" i="1"/>
  <c r="L140" i="1"/>
  <c r="L24" i="1"/>
  <c r="L93" i="1"/>
  <c r="L306" i="1"/>
  <c r="L166" i="1"/>
  <c r="L244" i="1"/>
  <c r="L27" i="1"/>
  <c r="L155" i="1"/>
  <c r="L35" i="1"/>
  <c r="L271" i="1"/>
  <c r="L131" i="1"/>
  <c r="L236" i="1"/>
  <c r="L64" i="1"/>
  <c r="L94" i="1"/>
  <c r="L309" i="1"/>
  <c r="L210" i="1"/>
  <c r="L211" i="1"/>
  <c r="L41" i="1"/>
  <c r="L129" i="1"/>
  <c r="L95" i="1"/>
  <c r="L281" i="1"/>
  <c r="L148" i="1"/>
  <c r="L254" i="1"/>
  <c r="L48" i="1"/>
  <c r="L46" i="1"/>
  <c r="L286" i="1"/>
  <c r="L212" i="1"/>
  <c r="L213" i="1"/>
  <c r="L26" i="1"/>
  <c r="L177" i="1"/>
  <c r="L159" i="1"/>
  <c r="L272" i="1"/>
  <c r="L61" i="1"/>
  <c r="L214" i="1"/>
  <c r="L96" i="1"/>
  <c r="L97" i="1"/>
  <c r="L297" i="1"/>
  <c r="L242" i="1"/>
  <c r="L215" i="1"/>
  <c r="L18" i="1"/>
  <c r="L132" i="1"/>
  <c r="L42" i="1"/>
  <c r="L279" i="1"/>
  <c r="L69" i="1"/>
  <c r="L230" i="1"/>
  <c r="L98" i="1"/>
  <c r="L134" i="1"/>
  <c r="L305" i="1"/>
  <c r="L240" i="1"/>
  <c r="L164" i="1"/>
  <c r="L62" i="1"/>
  <c r="L99" i="1"/>
  <c r="L153" i="1"/>
  <c r="L273" i="1"/>
  <c r="L100" i="1"/>
  <c r="L248" i="1"/>
  <c r="L101" i="1"/>
  <c r="L102" i="1"/>
  <c r="L307" i="1"/>
  <c r="L169" i="1"/>
  <c r="L216" i="1"/>
  <c r="L57" i="1"/>
  <c r="L103" i="1"/>
  <c r="L104" i="1"/>
  <c r="L264" i="1"/>
  <c r="L105" i="1"/>
  <c r="L183" i="1"/>
  <c r="L106" i="1"/>
  <c r="L45" i="1"/>
  <c r="L296" i="1"/>
  <c r="L138" i="1"/>
  <c r="L139" i="1"/>
  <c r="L14" i="1"/>
  <c r="L107" i="1"/>
  <c r="L73" i="1"/>
  <c r="L257" i="1"/>
  <c r="L108" i="1"/>
  <c r="L217" i="1"/>
  <c r="L72" i="1"/>
  <c r="L23" i="1"/>
  <c r="L303" i="1"/>
  <c r="L176" i="1"/>
  <c r="L200" i="1"/>
  <c r="L37" i="1"/>
  <c r="L109" i="1"/>
  <c r="L161" i="1"/>
  <c r="L258" i="1"/>
  <c r="L36" i="1"/>
  <c r="L233" i="1"/>
  <c r="L39" i="1"/>
  <c r="L66" i="1"/>
  <c r="L300" i="1"/>
  <c r="L228" i="1"/>
  <c r="L241" i="1"/>
  <c r="L8" i="1"/>
  <c r="L29" i="1"/>
  <c r="L110" i="1"/>
  <c r="L282" i="1"/>
  <c r="L53" i="1"/>
  <c r="L251" i="1"/>
  <c r="L71" i="1"/>
  <c r="L111" i="1"/>
  <c r="L287" i="1"/>
  <c r="L218" i="1"/>
  <c r="L219" i="1"/>
  <c r="L40" i="1"/>
  <c r="L49" i="1"/>
  <c r="L112" i="1"/>
  <c r="L274" i="1"/>
  <c r="L113" i="1"/>
  <c r="L220" i="1"/>
  <c r="L68" i="1"/>
  <c r="L114" i="1"/>
  <c r="L304" i="1"/>
  <c r="L250" i="1"/>
  <c r="L151" i="1"/>
  <c r="L32" i="1"/>
  <c r="L115" i="1"/>
  <c r="L136" i="1"/>
  <c r="L261" i="1"/>
  <c r="L116" i="1"/>
  <c r="L144" i="1"/>
  <c r="L74" i="1"/>
  <c r="L150" i="1"/>
  <c r="L284" i="1"/>
  <c r="L221" i="1"/>
  <c r="L222" i="1"/>
  <c r="L9" i="1"/>
  <c r="L175" i="1"/>
  <c r="L54" i="1"/>
  <c r="L275" i="1"/>
  <c r="L117" i="1"/>
  <c r="L202" i="1"/>
  <c r="L77" i="1"/>
  <c r="L78" i="1"/>
  <c r="L298" i="1"/>
  <c r="L235" i="1"/>
  <c r="L203" i="1"/>
  <c r="L5" i="1"/>
  <c r="L52" i="1"/>
  <c r="L194" i="1"/>
  <c r="L267" i="1"/>
  <c r="L28" i="1"/>
  <c r="L252" i="1"/>
  <c r="L79" i="1"/>
  <c r="L80" i="1"/>
  <c r="L294" i="1"/>
  <c r="L243" i="1"/>
  <c r="L253" i="1"/>
  <c r="L165" i="1"/>
  <c r="L266" i="1"/>
  <c r="L179" i="1"/>
  <c r="L201" i="1"/>
  <c r="L50" i="1"/>
  <c r="L75" i="1"/>
  <c r="L283" i="1"/>
  <c r="L229" i="1"/>
  <c r="L246" i="1"/>
  <c r="L4" i="1"/>
  <c r="L76" i="1"/>
  <c r="L58" i="1"/>
  <c r="L280" i="1"/>
  <c r="L168" i="1"/>
  <c r="L181" i="1"/>
  <c r="N203" i="1"/>
  <c r="N5" i="1"/>
  <c r="N52" i="1"/>
  <c r="N194" i="1"/>
  <c r="N267" i="1"/>
  <c r="N28" i="1"/>
  <c r="N252" i="1"/>
  <c r="N79" i="1"/>
  <c r="N80" i="1"/>
  <c r="N294" i="1"/>
  <c r="N243" i="1"/>
  <c r="N253" i="1"/>
  <c r="N6" i="1"/>
  <c r="N67" i="1"/>
  <c r="N47" i="1"/>
  <c r="N262" i="1"/>
  <c r="N142" i="1"/>
  <c r="N189" i="1"/>
  <c r="N180" i="1"/>
  <c r="N154" i="1"/>
  <c r="N285" i="1"/>
  <c r="N234" i="1"/>
  <c r="N204" i="1"/>
  <c r="N13" i="1"/>
  <c r="N60" i="1"/>
  <c r="N81" i="1"/>
  <c r="N263" i="1"/>
  <c r="N20" i="1"/>
  <c r="N237" i="1"/>
  <c r="N30" i="1"/>
  <c r="N82" i="1"/>
  <c r="N301" i="1"/>
  <c r="N205" i="1"/>
  <c r="N158" i="1"/>
  <c r="N44" i="1"/>
  <c r="N171" i="1"/>
  <c r="N163" i="1"/>
  <c r="N268" i="1"/>
  <c r="N83" i="1"/>
  <c r="N198" i="1"/>
  <c r="N146" i="1"/>
  <c r="N55" i="1"/>
  <c r="N295" i="1"/>
  <c r="N206" i="1"/>
  <c r="N207" i="1"/>
  <c r="N7" i="1"/>
  <c r="N84" i="1"/>
  <c r="N85" i="1"/>
  <c r="N269" i="1"/>
  <c r="N33" i="1"/>
  <c r="N149" i="1"/>
  <c r="N34" i="1"/>
  <c r="N195" i="1"/>
  <c r="N289" i="1"/>
  <c r="N156" i="1"/>
  <c r="N208" i="1"/>
  <c r="N15" i="1"/>
  <c r="N86" i="1"/>
  <c r="N157" i="1"/>
  <c r="N259" i="1"/>
  <c r="N87" i="1"/>
  <c r="N152" i="1"/>
  <c r="N130" i="1"/>
  <c r="N88" i="1"/>
  <c r="N293" i="1"/>
  <c r="N209" i="1"/>
  <c r="N185" i="1"/>
  <c r="N31" i="1"/>
  <c r="N89" i="1"/>
  <c r="N133" i="1"/>
  <c r="N270" i="1"/>
  <c r="N90" i="1"/>
  <c r="N196" i="1"/>
  <c r="N63" i="1"/>
  <c r="N91" i="1"/>
  <c r="N291" i="1"/>
  <c r="N143" i="1"/>
  <c r="N191" i="1"/>
  <c r="N16" i="1"/>
  <c r="N92" i="1"/>
  <c r="N172" i="1"/>
  <c r="N256" i="1"/>
  <c r="N135" i="1"/>
  <c r="N140" i="1"/>
  <c r="N24" i="1"/>
  <c r="N93" i="1"/>
  <c r="N306" i="1"/>
  <c r="N166" i="1"/>
  <c r="N244" i="1"/>
  <c r="N27" i="1"/>
  <c r="N155" i="1"/>
  <c r="N35" i="1"/>
  <c r="N271" i="1"/>
  <c r="N131" i="1"/>
  <c r="N236" i="1"/>
  <c r="N64" i="1"/>
  <c r="N94" i="1"/>
  <c r="N309" i="1"/>
  <c r="N210" i="1"/>
  <c r="N211" i="1"/>
  <c r="N41" i="1"/>
  <c r="N129" i="1"/>
  <c r="N95" i="1"/>
  <c r="N281" i="1"/>
  <c r="N148" i="1"/>
  <c r="N254" i="1"/>
  <c r="N48" i="1"/>
  <c r="N46" i="1"/>
  <c r="N286" i="1"/>
  <c r="N212" i="1"/>
  <c r="N213" i="1"/>
  <c r="N26" i="1"/>
  <c r="N177" i="1"/>
  <c r="N159" i="1"/>
  <c r="N272" i="1"/>
  <c r="N61" i="1"/>
  <c r="N214" i="1"/>
  <c r="N96" i="1"/>
  <c r="N97" i="1"/>
  <c r="N297" i="1"/>
  <c r="N242" i="1"/>
  <c r="N215" i="1"/>
  <c r="N18" i="1"/>
  <c r="N132" i="1"/>
  <c r="N42" i="1"/>
  <c r="N279" i="1"/>
  <c r="N69" i="1"/>
  <c r="N230" i="1"/>
  <c r="N98" i="1"/>
  <c r="N134" i="1"/>
  <c r="N305" i="1"/>
  <c r="N240" i="1"/>
  <c r="N164" i="1"/>
  <c r="N62" i="1"/>
  <c r="N99" i="1"/>
  <c r="N153" i="1"/>
  <c r="N273" i="1"/>
  <c r="N100" i="1"/>
  <c r="N248" i="1"/>
  <c r="N101" i="1"/>
  <c r="N102" i="1"/>
  <c r="N307" i="1"/>
  <c r="N169" i="1"/>
  <c r="N216" i="1"/>
  <c r="N57" i="1"/>
  <c r="N103" i="1"/>
  <c r="N104" i="1"/>
  <c r="N264" i="1"/>
  <c r="N105" i="1"/>
  <c r="N183" i="1"/>
  <c r="N106" i="1"/>
  <c r="N45" i="1"/>
  <c r="N296" i="1"/>
  <c r="N138" i="1"/>
  <c r="N139" i="1"/>
  <c r="N14" i="1"/>
  <c r="N107" i="1"/>
  <c r="N73" i="1"/>
  <c r="N257" i="1"/>
  <c r="N108" i="1"/>
  <c r="N217" i="1"/>
  <c r="N72" i="1"/>
  <c r="N23" i="1"/>
  <c r="N303" i="1"/>
  <c r="N176" i="1"/>
  <c r="N200" i="1"/>
  <c r="N37" i="1"/>
  <c r="N109" i="1"/>
  <c r="N161" i="1"/>
  <c r="N258" i="1"/>
  <c r="N36" i="1"/>
  <c r="N233" i="1"/>
  <c r="N39" i="1"/>
  <c r="N66" i="1"/>
  <c r="N300" i="1"/>
  <c r="N228" i="1"/>
  <c r="N241" i="1"/>
  <c r="N8" i="1"/>
  <c r="N29" i="1"/>
  <c r="N110" i="1"/>
  <c r="N282" i="1"/>
  <c r="N53" i="1"/>
  <c r="N251" i="1"/>
  <c r="N71" i="1"/>
  <c r="N111" i="1"/>
  <c r="N287" i="1"/>
  <c r="N218" i="1"/>
  <c r="N219" i="1"/>
  <c r="N40" i="1"/>
  <c r="N49" i="1"/>
  <c r="N112" i="1"/>
  <c r="N274" i="1"/>
  <c r="N113" i="1"/>
  <c r="N220" i="1"/>
  <c r="N68" i="1"/>
  <c r="N114" i="1"/>
  <c r="N304" i="1"/>
  <c r="N250" i="1"/>
  <c r="N151" i="1"/>
  <c r="N32" i="1"/>
  <c r="N115" i="1"/>
  <c r="N136" i="1"/>
  <c r="N261" i="1"/>
  <c r="N116" i="1"/>
  <c r="N144" i="1"/>
  <c r="N74" i="1"/>
  <c r="N150" i="1"/>
  <c r="N284" i="1"/>
  <c r="N221" i="1"/>
  <c r="N222" i="1"/>
  <c r="N9" i="1"/>
  <c r="N175" i="1"/>
  <c r="N54" i="1"/>
  <c r="N275" i="1"/>
  <c r="N117" i="1"/>
  <c r="N239" i="1"/>
  <c r="N19" i="1"/>
  <c r="N70" i="1"/>
  <c r="N310" i="1"/>
  <c r="N223" i="1"/>
  <c r="N224" i="1"/>
  <c r="N21" i="1"/>
  <c r="N59" i="1"/>
  <c r="N265" i="1"/>
  <c r="N118" i="1"/>
  <c r="N167" i="1"/>
  <c r="N43" i="1"/>
  <c r="N119" i="1"/>
  <c r="N302" i="1"/>
  <c r="N225" i="1"/>
  <c r="N249" i="1"/>
  <c r="N56" i="1"/>
  <c r="N128" i="1"/>
  <c r="N186" i="1"/>
  <c r="N276" i="1"/>
  <c r="N184" i="1"/>
  <c r="N231" i="1"/>
  <c r="N51" i="1"/>
  <c r="N182" i="1"/>
  <c r="N308" i="1"/>
  <c r="N178" i="1"/>
  <c r="N188" i="1"/>
  <c r="N25" i="1"/>
  <c r="N120" i="1"/>
  <c r="N121" i="1"/>
  <c r="N277" i="1"/>
  <c r="N174" i="1"/>
  <c r="N197" i="1"/>
  <c r="N122" i="1"/>
  <c r="N193" i="1"/>
  <c r="N290" i="1"/>
  <c r="N226" i="1"/>
  <c r="N247" i="1"/>
  <c r="N12" i="1"/>
  <c r="N162" i="1"/>
  <c r="N65" i="1"/>
  <c r="N278" i="1"/>
  <c r="N123" i="1"/>
  <c r="N238" i="1"/>
  <c r="N170" i="1"/>
  <c r="N124" i="1"/>
  <c r="N288" i="1"/>
  <c r="N232" i="1"/>
  <c r="N173" i="1"/>
  <c r="N10" i="1"/>
  <c r="N17" i="1"/>
  <c r="N125" i="1"/>
  <c r="N260" i="1"/>
  <c r="N137" i="1"/>
  <c r="N227" i="1"/>
  <c r="N141" i="1"/>
  <c r="N147" i="1"/>
  <c r="N292" i="1"/>
  <c r="N187" i="1"/>
  <c r="N245" i="1"/>
  <c r="N38" i="1"/>
  <c r="N126" i="1"/>
  <c r="N127" i="1"/>
  <c r="N255" i="1"/>
  <c r="N192" i="1"/>
  <c r="N160" i="1"/>
  <c r="N190" i="1"/>
  <c r="N22" i="1"/>
  <c r="N299" i="1"/>
  <c r="N199" i="1"/>
  <c r="N145" i="1"/>
  <c r="N11" i="1"/>
  <c r="N165" i="1"/>
  <c r="N266" i="1"/>
  <c r="N179" i="1"/>
  <c r="N201" i="1"/>
  <c r="N50" i="1"/>
  <c r="N75" i="1"/>
  <c r="N283" i="1"/>
  <c r="N229" i="1"/>
  <c r="N246" i="1"/>
  <c r="N4" i="1"/>
  <c r="N76" i="1"/>
  <c r="N58" i="1"/>
  <c r="N280" i="1"/>
  <c r="N168" i="1"/>
  <c r="N202" i="1"/>
  <c r="N77" i="1"/>
  <c r="N78" i="1"/>
  <c r="N298" i="1"/>
  <c r="N235" i="1"/>
  <c r="N181" i="1"/>
  <c r="P281" i="1"/>
  <c r="P148" i="1"/>
  <c r="P254" i="1"/>
  <c r="P48" i="1"/>
  <c r="P46" i="1"/>
  <c r="P286" i="1"/>
  <c r="P212" i="1"/>
  <c r="P213" i="1"/>
  <c r="P26" i="1"/>
  <c r="P177" i="1"/>
  <c r="P159" i="1"/>
  <c r="P272" i="1"/>
  <c r="P61" i="1"/>
  <c r="P214" i="1"/>
  <c r="P96" i="1"/>
  <c r="P97" i="1"/>
  <c r="P297" i="1"/>
  <c r="P242" i="1"/>
  <c r="P215" i="1"/>
  <c r="P18" i="1"/>
  <c r="P132" i="1"/>
  <c r="P42" i="1"/>
  <c r="P279" i="1"/>
  <c r="P69" i="1"/>
  <c r="P230" i="1"/>
  <c r="P98" i="1"/>
  <c r="P134" i="1"/>
  <c r="P305" i="1"/>
  <c r="P240" i="1"/>
  <c r="P164" i="1"/>
  <c r="P62" i="1"/>
  <c r="P99" i="1"/>
  <c r="P153" i="1"/>
  <c r="P273" i="1"/>
  <c r="P100" i="1"/>
  <c r="P248" i="1"/>
  <c r="P101" i="1"/>
  <c r="P102" i="1"/>
  <c r="P307" i="1"/>
  <c r="P169" i="1"/>
  <c r="P216" i="1"/>
  <c r="P57" i="1"/>
  <c r="P103" i="1"/>
  <c r="P104" i="1"/>
  <c r="P264" i="1"/>
  <c r="P105" i="1"/>
  <c r="P183" i="1"/>
  <c r="P106" i="1"/>
  <c r="P45" i="1"/>
  <c r="P296" i="1"/>
  <c r="P138" i="1"/>
  <c r="P139" i="1"/>
  <c r="P14" i="1"/>
  <c r="P107" i="1"/>
  <c r="P73" i="1"/>
  <c r="P257" i="1"/>
  <c r="P108" i="1"/>
  <c r="P217" i="1"/>
  <c r="P72" i="1"/>
  <c r="P23" i="1"/>
  <c r="P303" i="1"/>
  <c r="P176" i="1"/>
  <c r="P200" i="1"/>
  <c r="P37" i="1"/>
  <c r="P109" i="1"/>
  <c r="P161" i="1"/>
  <c r="P258" i="1"/>
  <c r="P36" i="1"/>
  <c r="P233" i="1"/>
  <c r="P39" i="1"/>
  <c r="P66" i="1"/>
  <c r="P300" i="1"/>
  <c r="P228" i="1"/>
  <c r="P241" i="1"/>
  <c r="P8" i="1"/>
  <c r="P29" i="1"/>
  <c r="P110" i="1"/>
  <c r="P282" i="1"/>
  <c r="P53" i="1"/>
  <c r="P71" i="1"/>
  <c r="P111" i="1"/>
  <c r="P287" i="1"/>
  <c r="P218" i="1"/>
  <c r="P219" i="1"/>
  <c r="P40" i="1"/>
  <c r="P49" i="1"/>
  <c r="P112" i="1"/>
  <c r="P274" i="1"/>
  <c r="P113" i="1"/>
  <c r="P220" i="1"/>
  <c r="P68" i="1"/>
  <c r="P114" i="1"/>
  <c r="P304" i="1"/>
  <c r="P250" i="1"/>
  <c r="P151" i="1"/>
  <c r="P32" i="1"/>
  <c r="P115" i="1"/>
  <c r="P136" i="1"/>
  <c r="P261" i="1"/>
  <c r="P116" i="1"/>
  <c r="P144" i="1"/>
  <c r="P74" i="1"/>
  <c r="P150" i="1"/>
  <c r="P284" i="1"/>
  <c r="P221" i="1"/>
  <c r="P222" i="1"/>
  <c r="P9" i="1"/>
  <c r="P175" i="1"/>
  <c r="P54" i="1"/>
  <c r="P275" i="1"/>
  <c r="P117" i="1"/>
  <c r="P239" i="1"/>
  <c r="P19" i="1"/>
  <c r="P70" i="1"/>
  <c r="P310" i="1"/>
  <c r="P223" i="1"/>
  <c r="P224" i="1"/>
  <c r="P21" i="1"/>
  <c r="P59" i="1"/>
  <c r="P265" i="1"/>
  <c r="P118" i="1"/>
  <c r="P167" i="1"/>
  <c r="P43" i="1"/>
  <c r="P119" i="1"/>
  <c r="P302" i="1"/>
  <c r="P225" i="1"/>
  <c r="P249" i="1"/>
  <c r="P56" i="1"/>
  <c r="P128" i="1"/>
  <c r="P186" i="1"/>
  <c r="P276" i="1"/>
  <c r="P184" i="1"/>
  <c r="P231" i="1"/>
  <c r="P51" i="1"/>
  <c r="P182" i="1"/>
  <c r="P308" i="1"/>
  <c r="P178" i="1"/>
  <c r="P188" i="1"/>
  <c r="P25" i="1"/>
  <c r="P120" i="1"/>
  <c r="P121" i="1"/>
  <c r="P277" i="1"/>
  <c r="P174" i="1"/>
  <c r="P197" i="1"/>
  <c r="P122" i="1"/>
  <c r="P193" i="1"/>
  <c r="P290" i="1"/>
  <c r="P226" i="1"/>
  <c r="P247" i="1"/>
  <c r="P12" i="1"/>
  <c r="P162" i="1"/>
  <c r="P65" i="1"/>
  <c r="P278" i="1"/>
  <c r="P123" i="1"/>
  <c r="P238" i="1"/>
  <c r="P170" i="1"/>
  <c r="P124" i="1"/>
  <c r="P288" i="1"/>
  <c r="P232" i="1"/>
  <c r="P173" i="1"/>
  <c r="P10" i="1"/>
  <c r="P17" i="1"/>
  <c r="P125" i="1"/>
  <c r="P260" i="1"/>
  <c r="P137" i="1"/>
  <c r="P227" i="1"/>
  <c r="P141" i="1"/>
  <c r="P147" i="1"/>
  <c r="P292" i="1"/>
  <c r="P187" i="1"/>
  <c r="P245" i="1"/>
  <c r="P38" i="1"/>
  <c r="P126" i="1"/>
  <c r="P127" i="1"/>
  <c r="P255" i="1"/>
  <c r="P192" i="1"/>
  <c r="P160" i="1"/>
  <c r="P190" i="1"/>
  <c r="P22" i="1"/>
  <c r="P299" i="1"/>
  <c r="P199" i="1"/>
  <c r="P145" i="1"/>
  <c r="P11" i="1"/>
  <c r="P20" i="1"/>
  <c r="P237" i="1"/>
  <c r="P30" i="1"/>
  <c r="P82" i="1"/>
  <c r="P301" i="1"/>
  <c r="P205" i="1"/>
  <c r="P158" i="1"/>
  <c r="P44" i="1"/>
  <c r="P171" i="1"/>
  <c r="P163" i="1"/>
  <c r="P268" i="1"/>
  <c r="P83" i="1"/>
  <c r="P198" i="1"/>
  <c r="P146" i="1"/>
  <c r="P55" i="1"/>
  <c r="P295" i="1"/>
  <c r="P206" i="1"/>
  <c r="P207" i="1"/>
  <c r="P7" i="1"/>
  <c r="P84" i="1"/>
  <c r="P85" i="1"/>
  <c r="P269" i="1"/>
  <c r="P33" i="1"/>
  <c r="P149" i="1"/>
  <c r="P34" i="1"/>
  <c r="P195" i="1"/>
  <c r="P289" i="1"/>
  <c r="P156" i="1"/>
  <c r="P208" i="1"/>
  <c r="P15" i="1"/>
  <c r="P86" i="1"/>
  <c r="P157" i="1"/>
  <c r="P259" i="1"/>
  <c r="P87" i="1"/>
  <c r="P152" i="1"/>
  <c r="P130" i="1"/>
  <c r="P88" i="1"/>
  <c r="P293" i="1"/>
  <c r="P209" i="1"/>
  <c r="P185" i="1"/>
  <c r="P31" i="1"/>
  <c r="P89" i="1"/>
  <c r="P133" i="1"/>
  <c r="P270" i="1"/>
  <c r="P90" i="1"/>
  <c r="P196" i="1"/>
  <c r="P63" i="1"/>
  <c r="P91" i="1"/>
  <c r="P291" i="1"/>
  <c r="P143" i="1"/>
  <c r="P191" i="1"/>
  <c r="P16" i="1"/>
  <c r="P92" i="1"/>
  <c r="P172" i="1"/>
  <c r="P256" i="1"/>
  <c r="P135" i="1"/>
  <c r="P140" i="1"/>
  <c r="P24" i="1"/>
  <c r="P93" i="1"/>
  <c r="P306" i="1"/>
  <c r="P166" i="1"/>
  <c r="P244" i="1"/>
  <c r="P27" i="1"/>
  <c r="P155" i="1"/>
  <c r="P35" i="1"/>
  <c r="P271" i="1"/>
  <c r="P131" i="1"/>
  <c r="P236" i="1"/>
  <c r="P64" i="1"/>
  <c r="P94" i="1"/>
  <c r="P309" i="1"/>
  <c r="P210" i="1"/>
  <c r="P211" i="1"/>
  <c r="P41" i="1"/>
  <c r="P129" i="1"/>
  <c r="P95" i="1"/>
  <c r="P77" i="1"/>
  <c r="P78" i="1"/>
  <c r="P298" i="1"/>
  <c r="P235" i="1"/>
  <c r="P203" i="1"/>
  <c r="P5" i="1"/>
  <c r="P52" i="1"/>
  <c r="P194" i="1"/>
  <c r="P267" i="1"/>
  <c r="P28" i="1"/>
  <c r="P252" i="1"/>
  <c r="P79" i="1"/>
  <c r="P80" i="1"/>
  <c r="P294" i="1"/>
  <c r="P243" i="1"/>
  <c r="P253" i="1"/>
  <c r="P6" i="1"/>
  <c r="P67" i="1"/>
  <c r="P47" i="1"/>
  <c r="P262" i="1"/>
  <c r="P142" i="1"/>
  <c r="P189" i="1"/>
  <c r="P180" i="1"/>
  <c r="P154" i="1"/>
  <c r="P285" i="1"/>
  <c r="P234" i="1"/>
  <c r="P204" i="1"/>
  <c r="P13" i="1"/>
  <c r="P60" i="1"/>
  <c r="P81" i="1"/>
  <c r="P263" i="1"/>
  <c r="P181" i="1"/>
  <c r="P179" i="1"/>
  <c r="P201" i="1"/>
  <c r="P50" i="1"/>
  <c r="P75" i="1"/>
  <c r="P283" i="1"/>
  <c r="P229" i="1"/>
  <c r="P246" i="1"/>
  <c r="P4" i="1"/>
  <c r="P76" i="1"/>
  <c r="P58" i="1"/>
  <c r="P280" i="1"/>
  <c r="P168" i="1"/>
  <c r="P202" i="1"/>
  <c r="P266" i="1"/>
  <c r="P165" i="1"/>
  <c r="E165" i="1"/>
  <c r="E266" i="1"/>
  <c r="E179" i="1"/>
  <c r="E201" i="1"/>
  <c r="E50" i="1"/>
  <c r="E75" i="1"/>
  <c r="E283" i="1"/>
  <c r="E229" i="1"/>
  <c r="E246" i="1"/>
  <c r="E4" i="1"/>
  <c r="E76" i="1"/>
  <c r="E58" i="1"/>
  <c r="E280" i="1"/>
  <c r="E168" i="1"/>
  <c r="E202" i="1"/>
  <c r="E77" i="1"/>
  <c r="E78" i="1"/>
  <c r="E298" i="1"/>
  <c r="E235" i="1"/>
  <c r="E203" i="1"/>
  <c r="E5" i="1"/>
  <c r="E52" i="1"/>
  <c r="E194" i="1"/>
  <c r="E267" i="1"/>
  <c r="E28" i="1"/>
  <c r="E252" i="1"/>
  <c r="E79" i="1"/>
  <c r="E80" i="1"/>
  <c r="E294" i="1"/>
  <c r="E243" i="1"/>
  <c r="E253" i="1"/>
  <c r="E6" i="1"/>
  <c r="E67" i="1"/>
  <c r="E47" i="1"/>
  <c r="E262" i="1"/>
  <c r="E142" i="1"/>
  <c r="E189" i="1"/>
  <c r="E180" i="1"/>
  <c r="E154" i="1"/>
  <c r="E285" i="1"/>
  <c r="E234" i="1"/>
  <c r="E204" i="1"/>
  <c r="E13" i="1"/>
  <c r="E60" i="1"/>
  <c r="E81" i="1"/>
  <c r="E263" i="1"/>
  <c r="E20" i="1"/>
  <c r="E237" i="1"/>
  <c r="E30" i="1"/>
  <c r="E82" i="1"/>
  <c r="E301" i="1"/>
  <c r="E205" i="1"/>
  <c r="E158" i="1"/>
  <c r="E44" i="1"/>
  <c r="E171" i="1"/>
  <c r="E163" i="1"/>
  <c r="E268" i="1"/>
  <c r="E83" i="1"/>
  <c r="E198" i="1"/>
  <c r="E146" i="1"/>
  <c r="E55" i="1"/>
  <c r="E295" i="1"/>
  <c r="E206" i="1"/>
  <c r="E207" i="1"/>
  <c r="E7" i="1"/>
  <c r="E84" i="1"/>
  <c r="E85" i="1"/>
  <c r="E269" i="1"/>
  <c r="E33" i="1"/>
  <c r="E149" i="1"/>
  <c r="E34" i="1"/>
  <c r="E195" i="1"/>
  <c r="E289" i="1"/>
  <c r="E156" i="1"/>
  <c r="E208" i="1"/>
  <c r="E15" i="1"/>
  <c r="E86" i="1"/>
  <c r="E157" i="1"/>
  <c r="E259" i="1"/>
  <c r="E87" i="1"/>
  <c r="E152" i="1"/>
  <c r="E130" i="1"/>
  <c r="E88" i="1"/>
  <c r="E293" i="1"/>
  <c r="E209" i="1"/>
  <c r="E185" i="1"/>
  <c r="E31" i="1"/>
  <c r="E89" i="1"/>
  <c r="E133" i="1"/>
  <c r="E270" i="1"/>
  <c r="E90" i="1"/>
  <c r="E196" i="1"/>
  <c r="E63" i="1"/>
  <c r="E91" i="1"/>
  <c r="E291" i="1"/>
  <c r="E143" i="1"/>
  <c r="E191" i="1"/>
  <c r="E16" i="1"/>
  <c r="E92" i="1"/>
  <c r="E172" i="1"/>
  <c r="E256" i="1"/>
  <c r="E135" i="1"/>
  <c r="E140" i="1"/>
  <c r="E24" i="1"/>
  <c r="E93" i="1"/>
  <c r="E306" i="1"/>
  <c r="E166" i="1"/>
  <c r="E244" i="1"/>
  <c r="E27" i="1"/>
  <c r="E155" i="1"/>
  <c r="E35" i="1"/>
  <c r="E271" i="1"/>
  <c r="E131" i="1"/>
  <c r="E236" i="1"/>
  <c r="E64" i="1"/>
  <c r="E94" i="1"/>
  <c r="E309" i="1"/>
  <c r="E210" i="1"/>
  <c r="E211" i="1"/>
  <c r="E41" i="1"/>
  <c r="E129" i="1"/>
  <c r="E95" i="1"/>
  <c r="E281" i="1"/>
  <c r="E148" i="1"/>
  <c r="E254" i="1"/>
  <c r="E48" i="1"/>
  <c r="E46" i="1"/>
  <c r="E286" i="1"/>
  <c r="E212" i="1"/>
  <c r="E213" i="1"/>
  <c r="E26" i="1"/>
  <c r="E177" i="1"/>
  <c r="E159" i="1"/>
  <c r="E272" i="1"/>
  <c r="E61" i="1"/>
  <c r="E214" i="1"/>
  <c r="E96" i="1"/>
  <c r="E97" i="1"/>
  <c r="E297" i="1"/>
  <c r="E242" i="1"/>
  <c r="E215" i="1"/>
  <c r="E18" i="1"/>
  <c r="E132" i="1"/>
  <c r="E42" i="1"/>
  <c r="E279" i="1"/>
  <c r="E69" i="1"/>
  <c r="E230" i="1"/>
  <c r="E98" i="1"/>
  <c r="E134" i="1"/>
  <c r="E305" i="1"/>
  <c r="E240" i="1"/>
  <c r="E164" i="1"/>
  <c r="E62" i="1"/>
  <c r="E99" i="1"/>
  <c r="E153" i="1"/>
  <c r="E273" i="1"/>
  <c r="E100" i="1"/>
  <c r="E248" i="1"/>
  <c r="E101" i="1"/>
  <c r="E102" i="1"/>
  <c r="E307" i="1"/>
  <c r="E169" i="1"/>
  <c r="E216" i="1"/>
  <c r="E57" i="1"/>
  <c r="E103" i="1"/>
  <c r="E104" i="1"/>
  <c r="E264" i="1"/>
  <c r="E105" i="1"/>
  <c r="E183" i="1"/>
  <c r="E106" i="1"/>
  <c r="E45" i="1"/>
  <c r="E296" i="1"/>
  <c r="E138" i="1"/>
  <c r="E139" i="1"/>
  <c r="E14" i="1"/>
  <c r="E107" i="1"/>
  <c r="E73" i="1"/>
  <c r="E257" i="1"/>
  <c r="E108" i="1"/>
  <c r="E217" i="1"/>
  <c r="E72" i="1"/>
  <c r="E23" i="1"/>
  <c r="E303" i="1"/>
  <c r="E176" i="1"/>
  <c r="E200" i="1"/>
  <c r="E37" i="1"/>
  <c r="E109" i="1"/>
  <c r="E161" i="1"/>
  <c r="E258" i="1"/>
  <c r="E36" i="1"/>
  <c r="E233" i="1"/>
  <c r="E39" i="1"/>
  <c r="E66" i="1"/>
  <c r="E300" i="1"/>
  <c r="E228" i="1"/>
  <c r="E241" i="1"/>
  <c r="E8" i="1"/>
  <c r="E29" i="1"/>
  <c r="E110" i="1"/>
  <c r="E282" i="1"/>
  <c r="E53" i="1"/>
  <c r="E251" i="1"/>
  <c r="E71" i="1"/>
  <c r="E111" i="1"/>
  <c r="E287" i="1"/>
  <c r="E218" i="1"/>
  <c r="E219" i="1"/>
  <c r="E40" i="1"/>
  <c r="E49" i="1"/>
  <c r="E112" i="1"/>
  <c r="E274" i="1"/>
  <c r="E113" i="1"/>
  <c r="E220" i="1"/>
  <c r="E68" i="1"/>
  <c r="E114" i="1"/>
  <c r="E304" i="1"/>
  <c r="E250" i="1"/>
  <c r="E151" i="1"/>
  <c r="E32" i="1"/>
  <c r="E115" i="1"/>
  <c r="E136" i="1"/>
  <c r="E261" i="1"/>
  <c r="E116" i="1"/>
  <c r="E144" i="1"/>
  <c r="E74" i="1"/>
  <c r="E150" i="1"/>
  <c r="E284" i="1"/>
  <c r="E221" i="1"/>
  <c r="E222" i="1"/>
  <c r="E9" i="1"/>
  <c r="E175" i="1"/>
  <c r="E54" i="1"/>
  <c r="E275" i="1"/>
  <c r="E117" i="1"/>
  <c r="E239" i="1"/>
  <c r="E19" i="1"/>
  <c r="E70" i="1"/>
  <c r="E310" i="1"/>
  <c r="E223" i="1"/>
  <c r="E224" i="1"/>
  <c r="E3" i="1"/>
  <c r="E21" i="1"/>
  <c r="E59" i="1"/>
  <c r="E265" i="1"/>
  <c r="E118" i="1"/>
  <c r="E167" i="1"/>
  <c r="E43" i="1"/>
  <c r="E119" i="1"/>
  <c r="E302" i="1"/>
  <c r="E225" i="1"/>
  <c r="E249" i="1"/>
  <c r="E56" i="1"/>
  <c r="E128" i="1"/>
  <c r="E186" i="1"/>
  <c r="E276" i="1"/>
  <c r="E184" i="1"/>
  <c r="E231" i="1"/>
  <c r="E51" i="1"/>
  <c r="E182" i="1"/>
  <c r="E308" i="1"/>
  <c r="E178" i="1"/>
  <c r="E188" i="1"/>
  <c r="E25" i="1"/>
  <c r="E120" i="1"/>
  <c r="E121" i="1"/>
  <c r="E277" i="1"/>
  <c r="E174" i="1"/>
  <c r="E197" i="1"/>
  <c r="E122" i="1"/>
  <c r="E193" i="1"/>
  <c r="E290" i="1"/>
  <c r="E226" i="1"/>
  <c r="E247" i="1"/>
  <c r="E12" i="1"/>
  <c r="E162" i="1"/>
  <c r="E65" i="1"/>
  <c r="E278" i="1"/>
  <c r="E123" i="1"/>
  <c r="E238" i="1"/>
  <c r="E170" i="1"/>
  <c r="E124" i="1"/>
  <c r="E288" i="1"/>
  <c r="E232" i="1"/>
  <c r="E173" i="1"/>
  <c r="E10" i="1"/>
  <c r="E17" i="1"/>
  <c r="E125" i="1"/>
  <c r="E260" i="1"/>
  <c r="E137" i="1"/>
  <c r="E227" i="1"/>
  <c r="E141" i="1"/>
  <c r="E147" i="1"/>
  <c r="E292" i="1"/>
  <c r="E187" i="1"/>
  <c r="E245" i="1"/>
  <c r="E38" i="1"/>
  <c r="E126" i="1"/>
  <c r="E127" i="1"/>
  <c r="E255" i="1"/>
  <c r="E192" i="1"/>
  <c r="E160" i="1"/>
  <c r="E190" i="1"/>
  <c r="E22" i="1"/>
  <c r="E299" i="1"/>
  <c r="E199" i="1"/>
  <c r="E145" i="1"/>
  <c r="E11" i="1"/>
  <c r="E181" i="1"/>
  <c r="A4" i="16"/>
  <c r="G4" i="16"/>
  <c r="D4" i="16"/>
  <c r="D53" i="11" l="1"/>
  <c r="E52" i="11"/>
  <c r="B23" i="11"/>
  <c r="C23" i="11" s="1"/>
  <c r="B22" i="11"/>
  <c r="C22" i="11" s="1"/>
  <c r="B21" i="11"/>
  <c r="C21" i="11" s="1"/>
  <c r="B16" i="11"/>
  <c r="C16" i="11" s="1"/>
  <c r="B17" i="11"/>
  <c r="E17" i="11" s="1"/>
  <c r="B14" i="11"/>
  <c r="C14" i="11" s="1"/>
  <c r="E22" i="11"/>
  <c r="E23" i="11"/>
  <c r="E21" i="11"/>
  <c r="E20" i="11"/>
  <c r="E19" i="11"/>
  <c r="E18" i="11"/>
  <c r="E15" i="11"/>
  <c r="E13" i="11"/>
  <c r="B6" i="11"/>
  <c r="B59" i="11" l="1"/>
  <c r="B60" i="11" s="1"/>
  <c r="B62" i="11" s="1"/>
  <c r="C53" i="11"/>
  <c r="E53" i="11"/>
  <c r="F53" i="11" s="1"/>
  <c r="F52" i="11"/>
  <c r="C17" i="11"/>
  <c r="E16" i="11"/>
  <c r="E14" i="11"/>
</calcChain>
</file>

<file path=xl/sharedStrings.xml><?xml version="1.0" encoding="utf-8"?>
<sst xmlns="http://schemas.openxmlformats.org/spreadsheetml/2006/main" count="1264" uniqueCount="171">
  <si>
    <t>Marketing</t>
  </si>
  <si>
    <t>id</t>
  </si>
  <si>
    <t>c_date</t>
  </si>
  <si>
    <t>campaign_name</t>
  </si>
  <si>
    <t>category</t>
  </si>
  <si>
    <t>campaign_id</t>
  </si>
  <si>
    <t>impressions</t>
  </si>
  <si>
    <t>mark_spent</t>
  </si>
  <si>
    <t>clicks</t>
  </si>
  <si>
    <t>leads</t>
  </si>
  <si>
    <t>orders</t>
  </si>
  <si>
    <t>revenue</t>
  </si>
  <si>
    <t>2021-02-01</t>
  </si>
  <si>
    <t>facebook_tier1</t>
  </si>
  <si>
    <t>social</t>
  </si>
  <si>
    <t>facebOOK_tier2</t>
  </si>
  <si>
    <t>google_hot</t>
  </si>
  <si>
    <t>search</t>
  </si>
  <si>
    <t>google_wide</t>
  </si>
  <si>
    <t>youtube_blogger</t>
  </si>
  <si>
    <t>influencer</t>
  </si>
  <si>
    <t>instagram_tier1</t>
  </si>
  <si>
    <t>instagram_tier2</t>
  </si>
  <si>
    <t>facebook_retargeting</t>
  </si>
  <si>
    <t>facebook_lal</t>
  </si>
  <si>
    <t>instagram_blogger</t>
  </si>
  <si>
    <t>banner_partner</t>
  </si>
  <si>
    <t>media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</si>
  <si>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</si>
  <si>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</si>
  <si>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</si>
  <si>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</si>
  <si>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</si>
  <si>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</si>
  <si>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</si>
  <si>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</si>
  <si>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</si>
  <si>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</si>
  <si>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</si>
  <si>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</si>
  <si>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</si>
  <si>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</si>
  <si>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</si>
  <si>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</si>
  <si>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</si>
  <si>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</si>
  <si>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</si>
  <si>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</si>
  <si>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</si>
  <si>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</si>
  <si>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</si>
  <si>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</si>
  <si>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</si>
  <si>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</si>
  <si>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</si>
  <si>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Row Labels</t>
  </si>
  <si>
    <t>Grand Total</t>
  </si>
  <si>
    <t>Column Labels</t>
  </si>
  <si>
    <t>Count of id</t>
  </si>
  <si>
    <t>campaign_name_clean</t>
  </si>
  <si>
    <t>orders_gt_leads</t>
  </si>
  <si>
    <t>leads_gt_clicks</t>
  </si>
  <si>
    <t>clicks_gt_impressions</t>
  </si>
  <si>
    <t>impressions_remainder</t>
  </si>
  <si>
    <t>clicks_remainder</t>
  </si>
  <si>
    <t>leads_remainder</t>
  </si>
  <si>
    <t>orders_remainder</t>
  </si>
  <si>
    <t>facebook_tier2</t>
  </si>
  <si>
    <t>CTR</t>
  </si>
  <si>
    <t>date_clean</t>
  </si>
  <si>
    <t>Sum of mark_spent</t>
  </si>
  <si>
    <t>Sum of orders</t>
  </si>
  <si>
    <t>Cost per order</t>
  </si>
  <si>
    <t>Sum of revenue</t>
  </si>
  <si>
    <t xml:space="preserve">Average order value </t>
  </si>
  <si>
    <t>ROAS</t>
  </si>
  <si>
    <t>Spend minus revenue</t>
  </si>
  <si>
    <t>AOV</t>
  </si>
  <si>
    <t>Sum of clicks</t>
  </si>
  <si>
    <t>CPC</t>
  </si>
  <si>
    <t>Click-to-order conversion rate</t>
  </si>
  <si>
    <t>Click-to-lead conversion rate</t>
  </si>
  <si>
    <t>Sum of leads</t>
  </si>
  <si>
    <t>Lead-to-order conversion rate</t>
  </si>
  <si>
    <t>(All)</t>
  </si>
  <si>
    <t>Assumed contribution margin before advertising</t>
  </si>
  <si>
    <t>Break-even ROAS</t>
  </si>
  <si>
    <t>Historical ROAS</t>
  </si>
  <si>
    <t>Meets assumed break-even threshold?</t>
  </si>
  <si>
    <t>Hypothetical margin; excludes fixed overhead. Historical ROAS does not predict future returns.</t>
  </si>
  <si>
    <t>Column1</t>
  </si>
  <si>
    <t>Minimum margin required at historical ROAS</t>
  </si>
  <si>
    <t>Campaign</t>
  </si>
  <si>
    <t>Minimum required margin</t>
  </si>
  <si>
    <t>Note</t>
  </si>
  <si>
    <t>Exceeds 100%; recorded revenue cannot cover advertising, even before other costs.</t>
  </si>
  <si>
    <t>Meet  threshold?</t>
  </si>
  <si>
    <t>Sum of impressions</t>
  </si>
  <si>
    <t>Cost per lead</t>
  </si>
  <si>
    <t>CPM</t>
  </si>
  <si>
    <t>Category ROAS</t>
  </si>
  <si>
    <t>Category cost per order</t>
  </si>
  <si>
    <t>Spending minus revenue</t>
  </si>
  <si>
    <t>Category AOV</t>
  </si>
  <si>
    <t>Category CPC</t>
  </si>
  <si>
    <t>Click-to-order rate</t>
  </si>
  <si>
    <t>Click-to-lead rate</t>
  </si>
  <si>
    <t>Lead-to-order rate</t>
  </si>
  <si>
    <t>Orders at monthly benchmark</t>
  </si>
  <si>
    <t>Order gap vs monthly benchmark</t>
  </si>
  <si>
    <t>Daily ROAS</t>
  </si>
  <si>
    <t>Category-date ROAS</t>
  </si>
  <si>
    <t>Date</t>
  </si>
  <si>
    <t>Influencer spending share</t>
  </si>
  <si>
    <t>Proposed action</t>
  </si>
  <si>
    <t>Supporting evidence</t>
  </si>
  <si>
    <t>What to verify</t>
  </si>
  <si>
    <t>Reduce budget, subject to verification</t>
  </si>
  <si>
    <t>ROAS 0.11; recorded revenue was 2.34 million below ad spending</t>
  </si>
  <si>
    <t>Spending and revenue attribution, delayed purchases, and campaign objective</t>
  </si>
  <si>
    <t>Cautiously reduce budget while investigating conversion</t>
  </si>
  <si>
    <t>ROAS 0.63; lead-to-order ratio 3.02%, versus social’s 8.40%</t>
  </si>
  <si>
    <t>Lead qualification and purchase-path drop-offs; linked purchase dates to check for delayed orders</t>
  </si>
  <si>
    <t>Test a limited budget increase if economics and capacity support it</t>
  </si>
  <si>
    <t>Highest historical ROAS, 3.77; recorded revenue exceeded ad spending every day</t>
  </si>
  <si>
    <t>Actual contribution margin, costs included in mark_spent, placement availability, and returns during the test</t>
  </si>
  <si>
    <t>Cautiously reduce budget, subject to verification</t>
  </si>
  <si>
    <t>ROAS 0.74; recorded revenue below ad spending every day</t>
  </si>
  <si>
    <t>Tracking and delayed purchases; reasons for expensive clicks on Feb 15–16 and weak orders per lead on Feb 18</t>
  </si>
  <si>
    <t>Hold off on increasing budget; review current spending if margins are insufficient</t>
  </si>
  <si>
    <t>Historical ROAS of 2.01 requires a contribution margin before advertising of approximately 49.63% to break even before fixed costs</t>
  </si>
  <si>
    <t>Actual contribution margin, costs included in mark_spent, and whether additional spending can meet the required return</t>
  </si>
  <si>
    <t>Historical ROAS of 1.77 requires a contribution margin before advertising of approximately 56.45% to break even before fixed costs</t>
  </si>
  <si>
    <t>Actual contribution margin, costs included in mark_spent, and whether additional spending could meet the required return</t>
  </si>
  <si>
    <t>Review for a cautious budget reduction</t>
  </si>
  <si>
    <t>ROAS 0.93; required margin 107.03%, exceeding 100%</t>
  </si>
  <si>
    <t>Tracking accuracy, delayed purchases, and campaign objective</t>
  </si>
  <si>
    <t>ROAS 0.66; required margin 150.76%, exceeding 100%</t>
  </si>
  <si>
    <t>Tracking accuracy, delayed purchases, and whether targeting attracts relevant traffic</t>
  </si>
  <si>
    <t>Hold off on increases; review current spending if margins are insufficient</t>
  </si>
  <si>
    <t>ROAS 1.22; required margin 81.70%</t>
  </si>
  <si>
    <t>Actual margin and advertising costs; separately investigate unusual impressions affecting CTR and CPM</t>
  </si>
  <si>
    <t>Consider a limited increase test only if economics support it</t>
  </si>
  <si>
    <t>ROAS 1.84; required margin 54.40%</t>
  </si>
  <si>
    <t>Actual margin, performance consistency, and availability of additional relevant traffic</t>
  </si>
  <si>
    <t>Hold off on increases pending margin verification</t>
  </si>
  <si>
    <t>ROAS 1.37; required margin 73.12%</t>
  </si>
  <si>
    <t>Actual margin, blogger fees included in spending, and terms for additional placements</t>
  </si>
  <si>
    <t>February spending</t>
  </si>
  <si>
    <t>Proposed change %</t>
  </si>
  <si>
    <t>Proposed spending</t>
  </si>
  <si>
    <t>Total:</t>
  </si>
  <si>
    <t>Budget released/added</t>
  </si>
  <si>
    <t>Budget Allocation Scenarios</t>
  </si>
  <si>
    <t>Label</t>
  </si>
  <si>
    <t>Calculation</t>
  </si>
  <si>
    <t>Budget ceiling</t>
  </si>
  <si>
    <t>Proposed allocation</t>
  </si>
  <si>
    <t>Unallocated reserve</t>
  </si>
  <si>
    <t>Summary</t>
  </si>
  <si>
    <t>Color</t>
  </si>
  <si>
    <t>Illustrative assumption</t>
  </si>
  <si>
    <t>Over budget?</t>
  </si>
  <si>
    <t>Recorded revenue</t>
  </si>
  <si>
    <t>Orders</t>
  </si>
  <si>
    <t xml:space="preserve">Campaign </t>
  </si>
  <si>
    <t>Monthly ROAS</t>
  </si>
  <si>
    <t>Category</t>
  </si>
  <si>
    <t xml:space="preserve">Marketing Campaign Performance - February 2021 </t>
  </si>
  <si>
    <t>Ad spending</t>
  </si>
  <si>
    <t>Above February spending?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</si>
</sst>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71" formatCode="0.00,,&quot;M&quot;"/>
  </numFmts>
  <fonts count="11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theme="1"/>
      <name val="Helvetica Neue"/>
      <family val="2"/>
    </font>
    <font>
      <i/>
      <sz val="10"/>
      <color indexed="8"/>
      <name val="Helvetica Neue"/>
      <family val="2"/>
    </font>
    <font>
      <sz val="8"/>
      <name val="Helvetica Neue"/>
      <family val="2"/>
    </font>
    <font>
      <b/>
      <sz val="10"/>
      <color rgb="FF000000"/>
      <name val="Helvetica Neue"/>
      <family val="2"/>
    </font>
    <font>
      <b/>
      <sz val="12"/>
      <color rgb="FF000000"/>
      <name val="Helvetica Neue"/>
      <family val="2"/>
    </font>
    <font>
      <b/>
      <sz val="22"/>
      <color rgb="FF000000"/>
      <name val="Helvetica Neue"/>
      <family val="2"/>
    </font>
    <font>
      <b/>
      <sz val="20"/>
      <color indexed="8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indexed="10"/>
      </right>
      <top style="thin">
        <color indexed="11"/>
      </top>
      <bottom style="thin">
        <color indexed="10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9" fontId="3" fillId="0" borderId="0" applyFont="0" applyFill="0" applyBorder="0" applyAlignment="0" applyProtection="0"/>
  </cellStyleXfs>
  <cellXfs count="9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164" fontId="0" fillId="0" borderId="4" xfId="0" applyNumberForma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164" fontId="0" fillId="0" borderId="7" xfId="0" applyNumberFormat="1" applyBorder="1" applyAlignment="1">
      <alignment vertical="top"/>
    </xf>
    <xf numFmtId="2" fontId="0" fillId="0" borderId="7" xfId="0" applyNumberFormat="1" applyBorder="1" applyAlignment="1">
      <alignment vertical="top"/>
    </xf>
    <xf numFmtId="0" fontId="0" fillId="0" borderId="8" xfId="0" applyBorder="1">
      <alignment vertical="top" wrapText="1"/>
    </xf>
    <xf numFmtId="0" fontId="0" fillId="0" borderId="9" xfId="0" applyBorder="1">
      <alignment vertical="top" wrapText="1"/>
    </xf>
    <xf numFmtId="0" fontId="0" fillId="0" borderId="10" xfId="0" applyBorder="1">
      <alignment vertical="top" wrapText="1"/>
    </xf>
    <xf numFmtId="0" fontId="0" fillId="0" borderId="12" xfId="0" pivotButton="1" applyBorder="1">
      <alignment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8" xfId="0" pivotButton="1" applyBorder="1">
      <alignment vertical="top" wrapText="1"/>
    </xf>
    <xf numFmtId="0" fontId="0" fillId="0" borderId="15" xfId="0" applyBorder="1">
      <alignment vertical="top" wrapText="1"/>
    </xf>
    <xf numFmtId="0" fontId="0" fillId="0" borderId="12" xfId="0" applyBorder="1">
      <alignment vertical="top" wrapText="1"/>
    </xf>
    <xf numFmtId="0" fontId="0" fillId="0" borderId="8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8" xfId="0" applyNumberFormat="1" applyBorder="1">
      <alignment vertical="top" wrapText="1"/>
    </xf>
    <xf numFmtId="0" fontId="0" fillId="0" borderId="15" xfId="0" applyNumberFormat="1" applyBorder="1">
      <alignment vertical="top" wrapText="1"/>
    </xf>
    <xf numFmtId="0" fontId="0" fillId="0" borderId="12" xfId="0" applyNumberFormat="1" applyBorder="1">
      <alignment vertical="top" wrapText="1"/>
    </xf>
    <xf numFmtId="0" fontId="0" fillId="0" borderId="11" xfId="0" applyNumberFormat="1" applyBorder="1">
      <alignment vertical="top" wrapText="1"/>
    </xf>
    <xf numFmtId="0" fontId="0" fillId="0" borderId="17" xfId="0" applyNumberFormat="1" applyBorder="1">
      <alignment vertical="top" wrapText="1"/>
    </xf>
    <xf numFmtId="0" fontId="0" fillId="0" borderId="13" xfId="0" applyNumberFormat="1" applyBorder="1">
      <alignment vertical="top" wrapText="1"/>
    </xf>
    <xf numFmtId="0" fontId="0" fillId="0" borderId="16" xfId="0" applyNumberFormat="1" applyBorder="1">
      <alignment vertical="top" wrapText="1"/>
    </xf>
    <xf numFmtId="0" fontId="0" fillId="0" borderId="18" xfId="0" applyNumberFormat="1" applyBorder="1">
      <alignment vertical="top" wrapText="1"/>
    </xf>
    <xf numFmtId="0" fontId="0" fillId="0" borderId="14" xfId="0" applyNumberFormat="1" applyBorder="1">
      <alignment vertical="top" wrapText="1"/>
    </xf>
    <xf numFmtId="0" fontId="3" fillId="0" borderId="4" xfId="0" applyNumberFormat="1" applyFont="1" applyBorder="1" applyAlignment="1">
      <alignment vertical="top"/>
    </xf>
    <xf numFmtId="0" fontId="3" fillId="0" borderId="0" xfId="0" applyNumberFormat="1" applyFont="1" applyAlignment="1">
      <alignment vertical="top"/>
    </xf>
    <xf numFmtId="0" fontId="0" fillId="0" borderId="13" xfId="0" applyBorder="1" applyAlignment="1">
      <alignment horizontal="left" vertical="top" wrapText="1" indent="1"/>
    </xf>
    <xf numFmtId="49" fontId="3" fillId="0" borderId="7" xfId="0" applyNumberFormat="1" applyFont="1" applyBorder="1" applyAlignment="1">
      <alignment vertical="top"/>
    </xf>
    <xf numFmtId="10" fontId="0" fillId="0" borderId="4" xfId="1" applyNumberFormat="1" applyFont="1" applyBorder="1" applyAlignment="1">
      <alignment vertical="top"/>
    </xf>
    <xf numFmtId="14" fontId="3" fillId="0" borderId="19" xfId="0" applyNumberFormat="1" applyFont="1" applyBorder="1" applyAlignment="1">
      <alignment vertical="top"/>
    </xf>
    <xf numFmtId="0" fontId="0" fillId="0" borderId="20" xfId="0" applyBorder="1">
      <alignment vertical="top" wrapText="1"/>
    </xf>
    <xf numFmtId="0" fontId="0" fillId="0" borderId="20" xfId="0" applyNumberFormat="1" applyBorder="1">
      <alignment vertical="top" wrapText="1"/>
    </xf>
    <xf numFmtId="0" fontId="0" fillId="0" borderId="21" xfId="0" applyNumberFormat="1" applyBorder="1">
      <alignment vertical="top" wrapText="1"/>
    </xf>
    <xf numFmtId="0" fontId="0" fillId="0" borderId="22" xfId="0" applyNumberFormat="1" applyBorder="1">
      <alignment vertical="top" wrapText="1"/>
    </xf>
    <xf numFmtId="0" fontId="3" fillId="0" borderId="0" xfId="0" applyFont="1">
      <alignment vertical="top" wrapText="1"/>
    </xf>
    <xf numFmtId="0" fontId="0" fillId="0" borderId="0" xfId="0" applyFill="1" applyBorder="1">
      <alignment vertical="top" wrapText="1"/>
    </xf>
    <xf numFmtId="2" fontId="0" fillId="0" borderId="0" xfId="0" applyNumberFormat="1">
      <alignment vertical="top" wrapText="1"/>
    </xf>
    <xf numFmtId="164" fontId="0" fillId="0" borderId="20" xfId="0" applyNumberFormat="1" applyBorder="1">
      <alignment vertical="top" wrapText="1"/>
    </xf>
    <xf numFmtId="164" fontId="0" fillId="0" borderId="21" xfId="0" applyNumberFormat="1" applyBorder="1">
      <alignment vertical="top" wrapText="1"/>
    </xf>
    <xf numFmtId="164" fontId="0" fillId="0" borderId="22" xfId="0" applyNumberFormat="1" applyBorder="1">
      <alignment vertical="top" wrapText="1"/>
    </xf>
    <xf numFmtId="0" fontId="3" fillId="0" borderId="0" xfId="0" applyFont="1" applyFill="1" applyBorder="1">
      <alignment vertical="top" wrapText="1"/>
    </xf>
    <xf numFmtId="2" fontId="0" fillId="0" borderId="20" xfId="0" applyNumberFormat="1" applyBorder="1">
      <alignment vertical="top" wrapText="1"/>
    </xf>
    <xf numFmtId="14" fontId="0" fillId="0" borderId="11" xfId="0" applyNumberFormat="1" applyBorder="1" applyAlignment="1">
      <alignment horizontal="left" vertical="top" wrapText="1" indent="1"/>
    </xf>
    <xf numFmtId="164" fontId="0" fillId="0" borderId="0" xfId="0" applyNumberFormat="1">
      <alignment vertical="top" wrapText="1"/>
    </xf>
    <xf numFmtId="164" fontId="0" fillId="0" borderId="15" xfId="0" applyNumberFormat="1" applyBorder="1">
      <alignment vertical="top" wrapText="1"/>
    </xf>
    <xf numFmtId="164" fontId="0" fillId="0" borderId="17" xfId="0" applyNumberFormat="1" applyBorder="1">
      <alignment vertical="top" wrapText="1"/>
    </xf>
    <xf numFmtId="164" fontId="0" fillId="0" borderId="18" xfId="0" applyNumberFormat="1" applyBorder="1">
      <alignment vertical="top" wrapText="1"/>
    </xf>
    <xf numFmtId="10" fontId="0" fillId="0" borderId="0" xfId="1" applyNumberFormat="1" applyFont="1" applyAlignment="1">
      <alignment vertical="top" wrapText="1"/>
    </xf>
    <xf numFmtId="0" fontId="0" fillId="0" borderId="14" xfId="0" pivotButton="1" applyBorder="1">
      <alignment vertical="top" wrapText="1"/>
    </xf>
    <xf numFmtId="0" fontId="0" fillId="0" borderId="14" xfId="0" applyBorder="1">
      <alignment vertical="top" wrapText="1"/>
    </xf>
    <xf numFmtId="0" fontId="0" fillId="0" borderId="11" xfId="0" applyBorder="1" applyAlignment="1">
      <alignment horizontal="left" vertical="top" wrapText="1" indent="1"/>
    </xf>
    <xf numFmtId="9" fontId="0" fillId="0" borderId="0" xfId="0" applyNumberFormat="1">
      <alignment vertical="top" wrapText="1"/>
    </xf>
    <xf numFmtId="9" fontId="0" fillId="4" borderId="0" xfId="0" applyNumberFormat="1" applyFill="1">
      <alignment vertical="top" wrapText="1"/>
    </xf>
    <xf numFmtId="0" fontId="0" fillId="0" borderId="0" xfId="0" applyAlignment="1">
      <alignment horizontal="center" vertical="top" wrapText="1"/>
    </xf>
    <xf numFmtId="0" fontId="4" fillId="0" borderId="0" xfId="0" applyFont="1">
      <alignment vertical="top" wrapText="1"/>
    </xf>
    <xf numFmtId="0" fontId="5" fillId="0" borderId="0" xfId="0" applyFont="1">
      <alignment vertical="top" wrapText="1"/>
    </xf>
    <xf numFmtId="14" fontId="0" fillId="0" borderId="0" xfId="0" applyNumberFormat="1">
      <alignment vertical="top" wrapText="1"/>
    </xf>
    <xf numFmtId="10" fontId="0" fillId="0" borderId="0" xfId="1" applyNumberFormat="1" applyFont="1" applyBorder="1" applyAlignment="1">
      <alignment vertical="top" wrapText="1"/>
    </xf>
    <xf numFmtId="2" fontId="0" fillId="0" borderId="0" xfId="1" applyNumberFormat="1" applyFont="1" applyBorder="1" applyAlignment="1">
      <alignment vertical="top" wrapText="1"/>
    </xf>
    <xf numFmtId="14" fontId="0" fillId="0" borderId="8" xfId="0" applyNumberFormat="1" applyBorder="1" applyAlignment="1">
      <alignment horizontal="left" vertical="top" wrapText="1"/>
    </xf>
    <xf numFmtId="14" fontId="0" fillId="0" borderId="11" xfId="0" applyNumberFormat="1" applyBorder="1" applyAlignment="1">
      <alignment horizontal="left" vertical="top" wrapText="1"/>
    </xf>
    <xf numFmtId="14" fontId="0" fillId="0" borderId="16" xfId="0" applyNumberFormat="1" applyBorder="1" applyAlignment="1">
      <alignment horizontal="left" vertical="top" wrapText="1"/>
    </xf>
    <xf numFmtId="2" fontId="0" fillId="0" borderId="21" xfId="0" applyNumberFormat="1" applyBorder="1">
      <alignment vertical="top" wrapText="1"/>
    </xf>
    <xf numFmtId="2" fontId="0" fillId="0" borderId="22" xfId="0" applyNumberFormat="1" applyBorder="1">
      <alignment vertical="top" wrapText="1"/>
    </xf>
    <xf numFmtId="2" fontId="0" fillId="0" borderId="15" xfId="0" applyNumberFormat="1" applyBorder="1">
      <alignment vertical="top" wrapText="1"/>
    </xf>
    <xf numFmtId="2" fontId="0" fillId="0" borderId="17" xfId="0" applyNumberFormat="1" applyBorder="1">
      <alignment vertical="top" wrapText="1"/>
    </xf>
    <xf numFmtId="2" fontId="0" fillId="0" borderId="18" xfId="0" applyNumberFormat="1" applyBorder="1">
      <alignment vertical="top" wrapText="1"/>
    </xf>
    <xf numFmtId="0" fontId="7" fillId="0" borderId="0" xfId="0" applyFont="1">
      <alignment vertical="top" wrapText="1"/>
    </xf>
    <xf numFmtId="2" fontId="3" fillId="0" borderId="0" xfId="0" applyNumberFormat="1" applyFont="1">
      <alignment vertical="top" wrapText="1"/>
    </xf>
    <xf numFmtId="9" fontId="0" fillId="5" borderId="0" xfId="0" applyNumberFormat="1" applyFill="1">
      <alignment vertical="top" wrapText="1"/>
    </xf>
    <xf numFmtId="0" fontId="8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8" fillId="6" borderId="0" xfId="0" applyFont="1" applyFill="1" applyAlignment="1">
      <alignment horizontal="center" vertical="top" wrapText="1"/>
    </xf>
    <xf numFmtId="0" fontId="0" fillId="6" borderId="0" xfId="0" applyFill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Continuous" vertical="top" wrapText="1"/>
    </xf>
    <xf numFmtId="171" fontId="10" fillId="0" borderId="0" xfId="0" applyNumberFormat="1" applyFont="1">
      <alignment vertical="top" wrapText="1"/>
    </xf>
    <xf numFmtId="3" fontId="10" fillId="0" borderId="0" xfId="0" applyNumberFormat="1" applyFont="1">
      <alignment vertical="top" wrapText="1"/>
    </xf>
    <xf numFmtId="2" fontId="10" fillId="0" borderId="0" xfId="0" applyNumberFormat="1" applyFont="1">
      <alignment vertical="top" wrapText="1"/>
    </xf>
    <xf numFmtId="0" fontId="9" fillId="0" borderId="0" xfId="0" applyFont="1" applyAlignment="1">
      <alignment horizontal="centerContinuous" vertical="top" wrapText="1"/>
    </xf>
    <xf numFmtId="10" fontId="0" fillId="0" borderId="0" xfId="0" applyNumberFormat="1">
      <alignment vertical="top" wrapText="1"/>
    </xf>
  </cellXfs>
  <cellStyles count="2">
    <cellStyle name="Normal" xfId="0" builtinId="0"/>
    <cellStyle name="Percent" xfId="1" builtinId="5"/>
  </cellStyles>
  <dxfs count="3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</dxf>
    <dxf>
      <numFmt numFmtId="2" formatCode="0.00"/>
    </dxf>
    <dxf>
      <numFmt numFmtId="2" formatCode="0.00"/>
    </dxf>
    <dxf>
      <numFmt numFmtId="19" formatCode="yyyy/m/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numFmt numFmtId="14" formatCode="0.00%"/>
      <alignment horizontal="general" vertical="top" textRotation="0" wrapText="1" indent="0" justifyLastLine="0" shrinkToFit="0" readingOrder="0"/>
    </dxf>
    <dxf>
      <numFmt numFmtId="19" formatCode="yyyy/m/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</dxf>
    <dxf>
      <numFmt numFmtId="2" formatCode="0.00"/>
    </dxf>
    <dxf>
      <numFmt numFmtId="2" formatCode="0.00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numFmt numFmtId="14" formatCode="0.00%"/>
      <alignment horizontal="general" vertical="top" textRotation="0" wrapText="1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Recorded ROAS</a:t>
            </a:r>
            <a:r>
              <a:rPr lang="en-US" baseline="0"/>
              <a:t> of Campaign - February 2021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Dashboard!$AB$6</c:f>
              <c:strCache>
                <c:ptCount val="1"/>
                <c:pt idx="0">
                  <c:v>ROAS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438-1F40-994E-3CF39A71667A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438-1F40-994E-3CF39A71667A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438-1F40-994E-3CF39A71667A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438-1F40-994E-3CF39A71667A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438-1F40-994E-3CF39A71667A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38-1F40-994E-3CF39A71667A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438-1F40-994E-3CF39A71667A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438-1F40-994E-3CF39A71667A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438-1F40-994E-3CF39A71667A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438-1F40-994E-3CF39A71667A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438-1F40-994E-3CF39A7166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Dashboard!$AA$7:$AA$17</c:f>
              <c:strCache>
                <c:ptCount val="11"/>
                <c:pt idx="0">
                  <c:v>youtube_blogger</c:v>
                </c:pt>
                <c:pt idx="1">
                  <c:v>facebook_retargeting</c:v>
                </c:pt>
                <c:pt idx="2">
                  <c:v>google_hot</c:v>
                </c:pt>
                <c:pt idx="3">
                  <c:v>instagram_tier1</c:v>
                </c:pt>
                <c:pt idx="4">
                  <c:v>instagram_blogger</c:v>
                </c:pt>
                <c:pt idx="5">
                  <c:v>banner_partner</c:v>
                </c:pt>
                <c:pt idx="6">
                  <c:v>facebook_tier1</c:v>
                </c:pt>
                <c:pt idx="7">
                  <c:v>facebook_tier2</c:v>
                </c:pt>
                <c:pt idx="8">
                  <c:v>google_wide</c:v>
                </c:pt>
                <c:pt idx="9">
                  <c:v>instagram_tier2</c:v>
                </c:pt>
                <c:pt idx="10">
                  <c:v>facebook_lal</c:v>
                </c:pt>
              </c:strCache>
            </c:strRef>
          </c:cat>
          <c:val>
            <c:numRef>
              <c:f>Dashboard!$AB$7:$AB$17</c:f>
              <c:numCache>
                <c:formatCode>0.00</c:formatCode>
                <c:ptCount val="11"/>
                <c:pt idx="0">
                  <c:v>3.7732066438861067</c:v>
                </c:pt>
                <c:pt idx="1">
                  <c:v>2.0149608456936865</c:v>
                </c:pt>
                <c:pt idx="2">
                  <c:v>1.8381243993952128</c:v>
                </c:pt>
                <c:pt idx="3">
                  <c:v>1.7713968343967499</c:v>
                </c:pt>
                <c:pt idx="4">
                  <c:v>1.3675421079697134</c:v>
                </c:pt>
                <c:pt idx="5">
                  <c:v>1.2240616896407279</c:v>
                </c:pt>
                <c:pt idx="6">
                  <c:v>0.9343489129580913</c:v>
                </c:pt>
                <c:pt idx="7">
                  <c:v>0.73783579099959795</c:v>
                </c:pt>
                <c:pt idx="8">
                  <c:v>0.66329726202467987</c:v>
                </c:pt>
                <c:pt idx="9">
                  <c:v>0.62885864257383139</c:v>
                </c:pt>
                <c:pt idx="10">
                  <c:v>0.11364114490384723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38-1F40-994E-3CF39A716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5977391"/>
        <c:axId val="877489680"/>
      </c:barChart>
      <c:catAx>
        <c:axId val="152597739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877489680"/>
        <c:crosses val="autoZero"/>
        <c:auto val="1"/>
        <c:lblAlgn val="ctr"/>
        <c:lblOffset val="100"/>
        <c:noMultiLvlLbl val="0"/>
      </c:catAx>
      <c:valAx>
        <c:axId val="87748968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525977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ROAS -</a:t>
            </a:r>
            <a:r>
              <a:rPr lang="en-US" baseline="0"/>
              <a:t> February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Dashboard!$AB$22</c:f>
              <c:strCache>
                <c:ptCount val="1"/>
                <c:pt idx="0">
                  <c:v>Daily ROAS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Dashboard!$AA$23:$AA$50</c:f>
              <c:numCache>
                <c:formatCode>m/d/yy</c:formatCode>
                <c:ptCount val="28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</c:numCache>
            </c:numRef>
          </c:cat>
          <c:val>
            <c:numRef>
              <c:f>Dashboard!$AB$23:$AB$50</c:f>
              <c:numCache>
                <c:formatCode>0.00</c:formatCode>
                <c:ptCount val="28"/>
                <c:pt idx="0">
                  <c:v>1.5116589289130711</c:v>
                </c:pt>
                <c:pt idx="1">
                  <c:v>1.6733353640292106</c:v>
                </c:pt>
                <c:pt idx="2">
                  <c:v>1.7155702842241258</c:v>
                </c:pt>
                <c:pt idx="3">
                  <c:v>1.3984822106389048</c:v>
                </c:pt>
                <c:pt idx="4">
                  <c:v>1.4356357375916495</c:v>
                </c:pt>
                <c:pt idx="5">
                  <c:v>1.360201862023432</c:v>
                </c:pt>
                <c:pt idx="6">
                  <c:v>1.4184788553976391</c:v>
                </c:pt>
                <c:pt idx="7">
                  <c:v>1.3525430925781359</c:v>
                </c:pt>
                <c:pt idx="8">
                  <c:v>1.3959193863351926</c:v>
                </c:pt>
                <c:pt idx="9">
                  <c:v>1.1115295557871083</c:v>
                </c:pt>
                <c:pt idx="10">
                  <c:v>1.7005341563296879</c:v>
                </c:pt>
                <c:pt idx="11">
                  <c:v>1.4347743888377582</c:v>
                </c:pt>
                <c:pt idx="12">
                  <c:v>1.5354894466049123</c:v>
                </c:pt>
                <c:pt idx="13">
                  <c:v>1.1680131633209265</c:v>
                </c:pt>
                <c:pt idx="14">
                  <c:v>1.4399221890234546</c:v>
                </c:pt>
                <c:pt idx="15">
                  <c:v>1.1927508459070486</c:v>
                </c:pt>
                <c:pt idx="16">
                  <c:v>1.2652895652985985</c:v>
                </c:pt>
                <c:pt idx="17">
                  <c:v>1.2321367368047593</c:v>
                </c:pt>
                <c:pt idx="18">
                  <c:v>1.6089361872092001</c:v>
                </c:pt>
                <c:pt idx="19">
                  <c:v>1.5036475632218904</c:v>
                </c:pt>
                <c:pt idx="20">
                  <c:v>1.4489874446869011</c:v>
                </c:pt>
                <c:pt idx="21">
                  <c:v>1.5301740612955705</c:v>
                </c:pt>
                <c:pt idx="22">
                  <c:v>1.3802192699481945</c:v>
                </c:pt>
                <c:pt idx="23">
                  <c:v>1.1920739468852068</c:v>
                </c:pt>
                <c:pt idx="24">
                  <c:v>1.4886655708140415</c:v>
                </c:pt>
                <c:pt idx="25">
                  <c:v>1.9458992285535046</c:v>
                </c:pt>
                <c:pt idx="26">
                  <c:v>1.4804483867094911</c:v>
                </c:pt>
                <c:pt idx="27">
                  <c:v>1.4272899013486395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9F-6447-A9D5-16AA835901B6}"/>
            </c:ext>
          </c:extLst>
        </c:ser>
        <c:ser>
          <c:idx val="1"/>
          <c:order val="1"/>
          <c:tx>
            <c:strRef>
              <c:f>Dashboard!$AC$22</c:f>
              <c:strCache>
                <c:ptCount val="1"/>
                <c:pt idx="0">
                  <c:v>Monthly ROAS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Dashboard!$AA$23:$AA$50</c:f>
              <c:numCache>
                <c:formatCode>m/d/yy</c:formatCode>
                <c:ptCount val="28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</c:numCache>
            </c:numRef>
          </c:cat>
          <c:val>
            <c:numRef>
              <c:f>Dashboard!$AC$23:$AC$50</c:f>
              <c:numCache>
                <c:formatCode>0.00</c:formatCode>
                <c:ptCount val="28"/>
                <c:pt idx="0">
                  <c:v>1.4020311364813829</c:v>
                </c:pt>
                <c:pt idx="1">
                  <c:v>1.4020311364813829</c:v>
                </c:pt>
                <c:pt idx="2">
                  <c:v>1.4020311364813829</c:v>
                </c:pt>
                <c:pt idx="3">
                  <c:v>1.4020311364813829</c:v>
                </c:pt>
                <c:pt idx="4">
                  <c:v>1.4020311364813829</c:v>
                </c:pt>
                <c:pt idx="5">
                  <c:v>1.4020311364813829</c:v>
                </c:pt>
                <c:pt idx="6">
                  <c:v>1.4020311364813829</c:v>
                </c:pt>
                <c:pt idx="7">
                  <c:v>1.4020311364813829</c:v>
                </c:pt>
                <c:pt idx="8">
                  <c:v>1.4020311364813829</c:v>
                </c:pt>
                <c:pt idx="9">
                  <c:v>1.4020311364813829</c:v>
                </c:pt>
                <c:pt idx="10">
                  <c:v>1.4020311364813829</c:v>
                </c:pt>
                <c:pt idx="11">
                  <c:v>1.4020311364813829</c:v>
                </c:pt>
                <c:pt idx="12">
                  <c:v>1.4020311364813829</c:v>
                </c:pt>
                <c:pt idx="13">
                  <c:v>1.4020311364813829</c:v>
                </c:pt>
                <c:pt idx="14">
                  <c:v>1.4020311364813829</c:v>
                </c:pt>
                <c:pt idx="15">
                  <c:v>1.4020311364813829</c:v>
                </c:pt>
                <c:pt idx="16">
                  <c:v>1.4020311364813829</c:v>
                </c:pt>
                <c:pt idx="17">
                  <c:v>1.4020311364813829</c:v>
                </c:pt>
                <c:pt idx="18">
                  <c:v>1.4020311364813829</c:v>
                </c:pt>
                <c:pt idx="19">
                  <c:v>1.4020311364813829</c:v>
                </c:pt>
                <c:pt idx="20">
                  <c:v>1.4020311364813829</c:v>
                </c:pt>
                <c:pt idx="21">
                  <c:v>1.4020311364813829</c:v>
                </c:pt>
                <c:pt idx="22">
                  <c:v>1.4020311364813829</c:v>
                </c:pt>
                <c:pt idx="23">
                  <c:v>1.4020311364813829</c:v>
                </c:pt>
                <c:pt idx="24">
                  <c:v>1.4020311364813829</c:v>
                </c:pt>
                <c:pt idx="25">
                  <c:v>1.4020311364813829</c:v>
                </c:pt>
                <c:pt idx="26">
                  <c:v>1.4020311364813829</c:v>
                </c:pt>
                <c:pt idx="27">
                  <c:v>1.4020311364813829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9F-6447-A9D5-16AA83590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042544"/>
        <c:axId val="506044272"/>
      </c:lineChart>
      <c:dateAx>
        <c:axId val="506042544"/>
        <c:scaling>
          <c:orientation val="minMax"/>
        </c:scaling>
        <c:delete val="0"/>
        <c:axPos val="b"/>
        <c:numFmt formatCode="m/d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506044272"/>
        <c:crosses val="autoZero"/>
        <c:auto val="1"/>
        <c:lblOffset val="100"/>
        <c:baseTimeUnit val="days"/>
      </c:dateAx>
      <c:valAx>
        <c:axId val="50604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50604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N" sz="1400" b="0" i="0" u="none" strike="noStrike" baseline="0"/>
              <a:t>Advertising Spend by Category — February 2021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Dashboard!$AB$54</c:f>
              <c:strCache>
                <c:ptCount val="1"/>
                <c:pt idx="0">
                  <c:v>February spending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numFmt formatCode="0.00&quot;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B9C6-904E-88BA-4D736213761E}"/>
                </c:ext>
              </c:extLst>
            </c:dLbl>
            <c:dLbl>
              <c:idx val="1"/>
              <c:numFmt formatCode="0.00&quot;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B9C6-904E-88BA-4D736213761E}"/>
                </c:ext>
              </c:extLst>
            </c:dLbl>
            <c:dLbl>
              <c:idx val="2"/>
              <c:numFmt formatCode="0.00&quot;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B9C6-904E-88BA-4D736213761E}"/>
                </c:ext>
              </c:extLst>
            </c:dLbl>
            <c:dLbl>
              <c:idx val="3"/>
              <c:numFmt formatCode="0.00&quot;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B9C6-904E-88BA-4D73621376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Dashboard!$AA$55:$AA$58</c:f>
              <c:strCache>
                <c:ptCount val="4"/>
                <c:pt idx="0">
                  <c:v>social</c:v>
                </c:pt>
                <c:pt idx="1">
                  <c:v>influencer</c:v>
                </c:pt>
                <c:pt idx="2">
                  <c:v>media</c:v>
                </c:pt>
                <c:pt idx="3">
                  <c:v>search</c:v>
                </c:pt>
              </c:strCache>
            </c:strRef>
          </c:cat>
          <c:val>
            <c:numRef>
              <c:f>Dashboard!$AB$55:$AB$58</c:f>
              <c:numCache>
                <c:formatCode>General</c:formatCode>
                <c:ptCount val="4"/>
                <c:pt idx="0">
                  <c:v>13798500.91</c:v>
                </c:pt>
                <c:pt idx="1">
                  <c:v>8305304.080000001</c:v>
                </c:pt>
                <c:pt idx="2">
                  <c:v>5026674.76</c:v>
                </c:pt>
                <c:pt idx="3">
                  <c:v>3460400.0700000012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C6-904E-88BA-4D7362137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6249456"/>
        <c:axId val="506251168"/>
      </c:barChart>
      <c:catAx>
        <c:axId val="50624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506251168"/>
        <c:crosses val="autoZero"/>
        <c:auto val="1"/>
        <c:lblAlgn val="ctr"/>
        <c:lblOffset val="100"/>
        <c:noMultiLvlLbl val="0"/>
      </c:catAx>
      <c:valAx>
        <c:axId val="50625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506249456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N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8007</xdr:rowOff>
    </xdr:from>
    <xdr:to>
      <xdr:col>4</xdr:col>
      <xdr:colOff>814456</xdr:colOff>
      <xdr:row>17</xdr:row>
      <xdr:rowOff>65709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83C61A-39C4-36F7-CBB7-18C5DA1BA1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626165</xdr:colOff>
      <xdr:row>17</xdr:row>
      <xdr:rowOff>116509</xdr:rowOff>
    </xdr:from>
    <xdr:ext cx="4279900" cy="44704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2B6A07F-D14F-27AE-E1B5-6DDA1CCF0E8E}"/>
            </a:ext>
          </a:extLst>
        </xdr:cNvPr>
        <xdr:cNvSpPr txBox="1"/>
      </xdr:nvSpPr>
      <xdr:spPr>
        <a:xfrm>
          <a:off x="626165" y="4713357"/>
          <a:ext cx="4279900" cy="447045"/>
        </a:xfrm>
        <a:prstGeom prst="rect">
          <a:avLst/>
        </a:prstGeom>
        <a:noFill/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50800" tIns="50800" rIns="50800" bIns="50800" numCol="1" spcCol="38100" rtlCol="0" anchor="t">
          <a:spAutoFit/>
        </a:bodyPr>
        <a:lstStyle/>
        <a:p>
          <a:pPr marL="0" marR="0" indent="0" algn="l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US" sz="1100" b="1" i="1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Note: ROAS of 1 means recorded revenue equals advertising spend. It does not account for other costs.</a:t>
          </a:r>
        </a:p>
      </xdr:txBody>
    </xdr:sp>
    <xdr:clientData/>
  </xdr:oneCellAnchor>
  <xdr:twoCellAnchor>
    <xdr:from>
      <xdr:col>0</xdr:col>
      <xdr:colOff>0</xdr:colOff>
      <xdr:row>21</xdr:row>
      <xdr:rowOff>2761</xdr:rowOff>
    </xdr:from>
    <xdr:to>
      <xdr:col>11</xdr:col>
      <xdr:colOff>800652</xdr:colOff>
      <xdr:row>38</xdr:row>
      <xdr:rowOff>77305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B335D4-5678-EF61-CBBF-2D3A21938D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315568</xdr:colOff>
      <xdr:row>5</xdr:row>
      <xdr:rowOff>13806</xdr:rowOff>
    </xdr:from>
    <xdr:to>
      <xdr:col>11</xdr:col>
      <xdr:colOff>814456</xdr:colOff>
      <xdr:row>17</xdr:row>
      <xdr:rowOff>82826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363D5B8-0317-3421-B838-BDE6B80B71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6</xdr:col>
      <xdr:colOff>145977</xdr:colOff>
      <xdr:row>18</xdr:row>
      <xdr:rowOff>29195</xdr:rowOff>
    </xdr:from>
    <xdr:ext cx="102657" cy="27078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34C5C0-ECD4-4A40-4850-7A0C0EFC6CB9}"/>
            </a:ext>
          </a:extLst>
        </xdr:cNvPr>
        <xdr:cNvSpPr txBox="1"/>
      </xdr:nvSpPr>
      <xdr:spPr>
        <a:xfrm>
          <a:off x="6963103" y="4875632"/>
          <a:ext cx="102657" cy="270780"/>
        </a:xfrm>
        <a:prstGeom prst="rect">
          <a:avLst/>
        </a:prstGeom>
        <a:noFill/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none" lIns="50800" tIns="50800" rIns="50800" bIns="50800" numCol="1" spcCol="38100" rtlCol="0" anchor="t">
          <a:spAutoFit/>
        </a:bodyPr>
        <a:lstStyle/>
        <a:p>
          <a:pPr marL="0" marR="0" indent="0" algn="l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en-US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endParaRPr>
        </a:p>
      </xdr:txBody>
    </xdr:sp>
    <xdr:clientData/>
  </xdr:oneCellAnchor>
  <xdr:twoCellAnchor>
    <xdr:from>
      <xdr:col>5</xdr:col>
      <xdr:colOff>454425</xdr:colOff>
      <xdr:row>18</xdr:row>
      <xdr:rowOff>0</xdr:rowOff>
    </xdr:from>
    <xdr:to>
      <xdr:col>11</xdr:col>
      <xdr:colOff>452528</xdr:colOff>
      <xdr:row>20</xdr:row>
      <xdr:rowOff>127000</xdr:rowOff>
    </xdr:to>
    <xdr:sp macro="" textlink="">
      <xdr:nvSpPr>
        <xdr:cNvPr id="12289" name="Text Box 1">
          <a:extLst>
            <a:ext uri="{FF2B5EF4-FFF2-40B4-BE49-F238E27FC236}">
              <a16:creationId xmlns:a16="http://schemas.microsoft.com/office/drawing/2014/main" id="{201DC53B-CFB7-57E7-B0E6-C666A9770F94}"/>
            </a:ext>
          </a:extLst>
        </xdr:cNvPr>
        <xdr:cNvSpPr txBox="1">
          <a:spLocks noChangeArrowheads="1"/>
        </xdr:cNvSpPr>
      </xdr:nvSpPr>
      <xdr:spPr bwMode="auto">
        <a:xfrm>
          <a:off x="6439482" y="4846437"/>
          <a:ext cx="4990517" cy="44814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CN" sz="1100" b="1" i="1"/>
            <a:t>Social had the highest ad spend (13.80M), but its 0.86 ROAS means recorded revenue was below advertising spend.</a:t>
          </a:r>
          <a:endParaRPr lang="en-US" sz="1100" b="1" i="1" u="none" strike="noStrike" baseline="0">
            <a:solidFill>
              <a:srgbClr val="000000"/>
            </a:solidFill>
            <a:latin typeface="Helvetica Neue" charset="0"/>
            <a:ea typeface="Helvetica Neue" charset="0"/>
            <a:cs typeface="Helvetica Neue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73.725791435187" createdVersion="8" refreshedVersion="8" minRefreshableVersion="3" recordCount="308" xr:uid="{F84382B5-2D21-3549-A1DC-B5E41A4DBDD6}">
  <cacheSource type="worksheet">
    <worksheetSource ref="A2:Q310" sheet="Cleaned_data"/>
  </cacheSource>
  <cacheFields count="11">
    <cacheField name="id" numFmtId="0">
      <sharedItems containsSemiMixedTypes="0" containsString="0" containsNumber="1" containsInteger="1" minValue="1" maxValue="308"/>
    </cacheField>
    <cacheField name="c_date" numFmtId="49">
      <sharedItems count="28">
        <s v="2021-02-01"/>
        <s v="2021-02-02"/>
        <s v="2021-02-03"/>
        <s v="2021-02-04"/>
        <s v="2021-02-05"/>
        <s v="2021-02-06"/>
        <s v="2021-02-07"/>
        <s v="2021-02-08"/>
        <s v="2021-02-09"/>
        <s v="2021-02-10"/>
        <s v="2021-02-11"/>
        <s v="2021-02-12"/>
        <s v="2021-02-13"/>
        <s v="2021-02-14"/>
        <s v="2021-02-15"/>
        <s v="2021-02-16"/>
        <s v="2021-02-17"/>
        <s v="2021-02-18"/>
        <s v="2021-02-19"/>
        <s v="2021-02-20"/>
        <s v="2021-02-21"/>
        <s v="2021-02-22"/>
        <s v="2021-02-23"/>
        <s v="2021-02-24"/>
        <s v="2021-02-25"/>
        <s v="2021-02-26"/>
        <s v="2021-02-27"/>
        <s v="2021-02-28"/>
      </sharedItems>
    </cacheField>
    <cacheField name="campaign_name" numFmtId="49">
      <sharedItems count="11">
        <s v="facebook_tier1"/>
        <s v="facebOOK_tier2"/>
        <s v="google_hot"/>
        <s v="google_wide"/>
        <s v="youtube_blogger"/>
        <s v="instagram_tier1"/>
        <s v="instagram_tier2"/>
        <s v="facebook_retargeting"/>
        <s v="facebook_lal"/>
        <s v="instagram_blogger"/>
        <s v="banner_partner"/>
      </sharedItems>
    </cacheField>
    <cacheField name="category" numFmtId="49">
      <sharedItems/>
    </cacheField>
    <cacheField name="campaign_id" numFmtId="0">
      <sharedItems containsSemiMixedTypes="0" containsString="0" containsNumber="1" containsInteger="1" minValue="10934" maxValue="89459845"/>
    </cacheField>
    <cacheField name="impressions" numFmtId="0">
      <sharedItems containsSemiMixedTypes="0" containsString="0" containsNumber="1" containsInteger="1" minValue="667" maxValue="419970000"/>
    </cacheField>
    <cacheField name="mark_spent" numFmtId="0">
      <sharedItems containsSemiMixedTypes="0" containsString="0" containsNumber="1" minValue="169.75" maxValue="880357"/>
    </cacheField>
    <cacheField name="clicks" numFmtId="0">
      <sharedItems containsSemiMixedTypes="0" containsString="0" containsNumber="1" containsInteger="1" minValue="20" maxValue="61195"/>
    </cacheField>
    <cacheField name="leads" numFmtId="0">
      <sharedItems containsSemiMixedTypes="0" containsString="0" containsNumber="1" containsInteger="1" minValue="0" maxValue="1678"/>
    </cacheField>
    <cacheField name="orders" numFmtId="0">
      <sharedItems containsSemiMixedTypes="0" containsString="0" containsNumber="1" containsInteger="1" minValue="0" maxValue="369"/>
    </cacheField>
    <cacheField name="revenue" numFmtId="164">
      <sharedItems containsSemiMixedTypes="0" containsString="0" containsNumber="1" containsInteger="1" minValue="0" maxValue="28125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73.830658101855" createdVersion="8" refreshedVersion="8" minRefreshableVersion="3" recordCount="308" xr:uid="{4D4AC7D6-3567-F149-AB76-48BCFD9CE7BC}">
  <cacheSource type="worksheet">
    <worksheetSource ref="A2:V310" sheet="Cleaned_data"/>
  </cacheSource>
  <cacheFields count="22">
    <cacheField name="id" numFmtId="0">
      <sharedItems containsSemiMixedTypes="0" containsString="0" containsNumber="1" containsInteger="1" minValue="1" maxValue="308"/>
    </cacheField>
    <cacheField name="c_date" numFmtId="49">
      <sharedItems/>
    </cacheField>
    <cacheField name="date_clean" numFmtId="14">
      <sharedItems containsSemiMixedTypes="0" containsNonDate="0" containsDate="1" containsString="0" minDate="2021-02-01T00:00:00" maxDate="2021-03-01T00:00:00" count="28">
        <d v="2021-02-22T00:00:00"/>
        <d v="2021-02-01T00:00:00"/>
        <d v="2021-02-02T00:00:00"/>
        <d v="2021-02-03T00:00:00"/>
        <d v="2021-02-06T00:00:00"/>
        <d v="2021-02-18T00:00:00"/>
        <d v="2021-02-21T00:00:00"/>
        <d v="2021-02-26T00:00:00"/>
        <d v="2021-02-28T00:00:00"/>
        <d v="2021-02-25T00:00:00"/>
        <d v="2021-02-04T00:00:00"/>
        <d v="2021-02-16T00:00:00"/>
        <d v="2021-02-07T00:00:00"/>
        <d v="2021-02-09T00:00:00"/>
        <d v="2021-02-27T00:00:00"/>
        <d v="2021-02-13T00:00:00"/>
        <d v="2021-02-05T00:00:00"/>
        <d v="2021-02-23T00:00:00"/>
        <d v="2021-02-17T00:00:00"/>
        <d v="2021-02-10T00:00:00"/>
        <d v="2021-02-24T00:00:00"/>
        <d v="2021-02-12T00:00:00"/>
        <d v="2021-02-19T00:00:00"/>
        <d v="2021-02-08T00:00:00"/>
        <d v="2021-02-20T00:00:00"/>
        <d v="2021-02-11T00:00:00"/>
        <d v="2021-02-14T00:00:00"/>
        <d v="2021-02-15T00:00:00"/>
      </sharedItems>
    </cacheField>
    <cacheField name="campaign_name" numFmtId="49">
      <sharedItems/>
    </cacheField>
    <cacheField name="campaign_name_clean" numFmtId="0">
      <sharedItems count="11">
        <s v="banner_partner"/>
        <s v="facebook_tier1"/>
        <s v="instagram_tier1"/>
        <s v="google_wide"/>
        <s v="instagram_tier2"/>
        <s v="facebook_tier2"/>
        <s v="facebook_lal"/>
        <s v="instagram_blogger"/>
        <s v="youtube_blogger"/>
        <s v="google_hot"/>
        <s v="facebook_retargeting"/>
      </sharedItems>
    </cacheField>
    <cacheField name="category" numFmtId="49">
      <sharedItems count="4">
        <s v="media"/>
        <s v="social"/>
        <s v="search"/>
        <s v="influencer"/>
      </sharedItems>
    </cacheField>
    <cacheField name="campaign_id" numFmtId="0">
      <sharedItems containsSemiMixedTypes="0" containsString="0" containsNumber="1" containsInteger="1" minValue="10934" maxValue="89459845"/>
    </cacheField>
    <cacheField name="impressions" numFmtId="0">
      <sharedItems containsSemiMixedTypes="0" containsString="0" containsNumber="1" containsInteger="1" minValue="667" maxValue="419970000"/>
    </cacheField>
    <cacheField name="mark_spent" numFmtId="0">
      <sharedItems containsSemiMixedTypes="0" containsString="0" containsNumber="1" minValue="169.75" maxValue="880357"/>
    </cacheField>
    <cacheField name="CTR" numFmtId="10">
      <sharedItems containsSemiMixedTypes="0" containsString="0" containsNumber="1" minValue="7.9424768592833953E-5" maxValue="3.3555917176364962E-2"/>
    </cacheField>
    <cacheField name="clicks" numFmtId="0">
      <sharedItems containsSemiMixedTypes="0" containsString="0" containsNumber="1" containsInteger="1" minValue="20" maxValue="61195"/>
    </cacheField>
    <cacheField name="clicks_gt_impressions" numFmtId="0">
      <sharedItems/>
    </cacheField>
    <cacheField name="leads" numFmtId="0">
      <sharedItems containsSemiMixedTypes="0" containsString="0" containsNumber="1" containsInteger="1" minValue="0" maxValue="1678"/>
    </cacheField>
    <cacheField name="leads_gt_clicks" numFmtId="0">
      <sharedItems/>
    </cacheField>
    <cacheField name="orders" numFmtId="0">
      <sharedItems containsSemiMixedTypes="0" containsString="0" containsNumber="1" containsInteger="1" minValue="0" maxValue="369"/>
    </cacheField>
    <cacheField name="orders_gt_leads" numFmtId="0">
      <sharedItems/>
    </cacheField>
    <cacheField name="revenue" numFmtId="164">
      <sharedItems containsSemiMixedTypes="0" containsString="0" containsNumber="1" containsInteger="1" minValue="0" maxValue="2812520"/>
    </cacheField>
    <cacheField name="impressions_remainder" numFmtId="0">
      <sharedItems containsSemiMixedTypes="0" containsString="0" containsNumber="1" containsInteger="1" minValue="0" maxValue="0"/>
    </cacheField>
    <cacheField name="clicks_remainder" numFmtId="0">
      <sharedItems containsSemiMixedTypes="0" containsString="0" containsNumber="1" containsInteger="1" minValue="0" maxValue="0"/>
    </cacheField>
    <cacheField name="leads_remainder" numFmtId="0">
      <sharedItems containsSemiMixedTypes="0" containsString="0" containsNumber="1" containsInteger="1" minValue="0" maxValue="0"/>
    </cacheField>
    <cacheField name="orders_remainder" numFmtId="0">
      <sharedItems containsSemiMixedTypes="0" containsString="0" containsNumber="1" containsInteger="1" minValue="0" maxValue="0"/>
    </cacheField>
    <cacheField name="Field22" caption="Field2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76.03590289352" createdVersion="8" refreshedVersion="8" minRefreshableVersion="3" recordCount="308" xr:uid="{8EA042B0-9645-104E-873D-8C7F48A6B3EE}">
  <cacheSource type="worksheet">
    <worksheetSource ref="A2:U310" sheet="Cleaned_data"/>
  </cacheSource>
  <cacheFields count="26">
    <cacheField name="id" numFmtId="0">
      <sharedItems containsSemiMixedTypes="0" containsString="0" containsNumber="1" containsInteger="1" minValue="1" maxValue="308"/>
    </cacheField>
    <cacheField name="c_date" numFmtId="49">
      <sharedItems/>
    </cacheField>
    <cacheField name="date_clean" numFmtId="14">
      <sharedItems containsSemiMixedTypes="0" containsNonDate="0" containsDate="1" containsString="0" minDate="2021-02-01T00:00:00" maxDate="2021-03-01T00:00:00" count="28">
        <d v="2021-02-22T00:00:00"/>
        <d v="2021-02-01T00:00:00"/>
        <d v="2021-02-02T00:00:00"/>
        <d v="2021-02-03T00:00:00"/>
        <d v="2021-02-06T00:00:00"/>
        <d v="2021-02-18T00:00:00"/>
        <d v="2021-02-21T00:00:00"/>
        <d v="2021-02-26T00:00:00"/>
        <d v="2021-02-28T00:00:00"/>
        <d v="2021-02-25T00:00:00"/>
        <d v="2021-02-04T00:00:00"/>
        <d v="2021-02-16T00:00:00"/>
        <d v="2021-02-07T00:00:00"/>
        <d v="2021-02-09T00:00:00"/>
        <d v="2021-02-27T00:00:00"/>
        <d v="2021-02-13T00:00:00"/>
        <d v="2021-02-05T00:00:00"/>
        <d v="2021-02-23T00:00:00"/>
        <d v="2021-02-17T00:00:00"/>
        <d v="2021-02-10T00:00:00"/>
        <d v="2021-02-24T00:00:00"/>
        <d v="2021-02-12T00:00:00"/>
        <d v="2021-02-19T00:00:00"/>
        <d v="2021-02-08T00:00:00"/>
        <d v="2021-02-20T00:00:00"/>
        <d v="2021-02-11T00:00:00"/>
        <d v="2021-02-14T00:00:00"/>
        <d v="2021-02-15T00:00:00"/>
      </sharedItems>
    </cacheField>
    <cacheField name="campaign_name" numFmtId="49">
      <sharedItems count="11">
        <s v="banner_partner"/>
        <s v="facebook_tier1"/>
        <s v="instagram_tier1"/>
        <s v="google_wide"/>
        <s v="instagram_tier2"/>
        <s v="facebOOK_tier2"/>
        <s v="facebook_lal"/>
        <s v="instagram_blogger"/>
        <s v="youtube_blogger"/>
        <s v="google_hot"/>
        <s v="facebook_retargeting"/>
      </sharedItems>
    </cacheField>
    <cacheField name="campaign_name_clean" numFmtId="0">
      <sharedItems count="11">
        <s v="banner_partner"/>
        <s v="facebook_tier1"/>
        <s v="instagram_tier1"/>
        <s v="google_wide"/>
        <s v="instagram_tier2"/>
        <s v="facebook_tier2"/>
        <s v="facebook_lal"/>
        <s v="instagram_blogger"/>
        <s v="youtube_blogger"/>
        <s v="google_hot"/>
        <s v="facebook_retargeting"/>
      </sharedItems>
    </cacheField>
    <cacheField name="category" numFmtId="49">
      <sharedItems count="4">
        <s v="media"/>
        <s v="social"/>
        <s v="search"/>
        <s v="influencer"/>
      </sharedItems>
    </cacheField>
    <cacheField name="campaign_id" numFmtId="0">
      <sharedItems containsSemiMixedTypes="0" containsString="0" containsNumber="1" containsInteger="1" minValue="10934" maxValue="89459845" count="11">
        <n v="39889"/>
        <n v="349043"/>
        <n v="9034945"/>
        <n v="127823"/>
        <n v="983498"/>
        <n v="348934"/>
        <n v="544756"/>
        <n v="374754"/>
        <n v="10934"/>
        <n v="89459845"/>
        <n v="4387490"/>
      </sharedItems>
    </cacheField>
    <cacheField name="impressions" numFmtId="0">
      <sharedItems containsSemiMixedTypes="0" containsString="0" containsNumber="1" containsInteger="1" minValue="667" maxValue="419970000"/>
    </cacheField>
    <cacheField name="mark_spent" numFmtId="0">
      <sharedItems containsSemiMixedTypes="0" containsString="0" containsNumber="1" minValue="169.75" maxValue="880357"/>
    </cacheField>
    <cacheField name="CTR" numFmtId="10">
      <sharedItems containsSemiMixedTypes="0" containsString="0" containsNumber="1" minValue="7.9424768592833953E-5" maxValue="3.3555917176364962E-2"/>
    </cacheField>
    <cacheField name="clicks" numFmtId="0">
      <sharedItems containsSemiMixedTypes="0" containsString="0" containsNumber="1" containsInteger="1" minValue="20" maxValue="61195"/>
    </cacheField>
    <cacheField name="clicks_gt_impressions" numFmtId="0">
      <sharedItems/>
    </cacheField>
    <cacheField name="leads" numFmtId="0">
      <sharedItems containsSemiMixedTypes="0" containsString="0" containsNumber="1" containsInteger="1" minValue="0" maxValue="1678"/>
    </cacheField>
    <cacheField name="leads_gt_clicks" numFmtId="0">
      <sharedItems/>
    </cacheField>
    <cacheField name="orders" numFmtId="0">
      <sharedItems containsSemiMixedTypes="0" containsString="0" containsNumber="1" containsInteger="1" minValue="0" maxValue="369"/>
    </cacheField>
    <cacheField name="orders_gt_leads" numFmtId="0">
      <sharedItems/>
    </cacheField>
    <cacheField name="revenue" numFmtId="164">
      <sharedItems containsSemiMixedTypes="0" containsString="0" containsNumber="1" containsInteger="1" minValue="0" maxValue="2812520"/>
    </cacheField>
    <cacheField name="impressions_remainder" numFmtId="0">
      <sharedItems containsSemiMixedTypes="0" containsString="0" containsNumber="1" containsInteger="1" minValue="0" maxValue="0"/>
    </cacheField>
    <cacheField name="clicks_remainder" numFmtId="0">
      <sharedItems containsSemiMixedTypes="0" containsString="0" containsNumber="1" containsInteger="1" minValue="0" maxValue="0"/>
    </cacheField>
    <cacheField name="leads_remainder" numFmtId="0">
      <sharedItems containsSemiMixedTypes="0" containsString="0" containsNumber="1" containsInteger="1" minValue="0" maxValue="0"/>
    </cacheField>
    <cacheField name="orders_remainder" numFmtId="0">
      <sharedItems containsSemiMixedTypes="0" containsString="0" containsNumber="1" containsInteger="1" minValue="0" maxValue="0"/>
    </cacheField>
    <cacheField name="ROAS" numFmtId="0" formula="revenue/mark_spent" databaseField="0"/>
    <cacheField name="Spend minus revenue" numFmtId="0" formula="mark_spent-revenue" databaseField="0"/>
    <cacheField name="Daily cost per order" numFmtId="0" formula="mark_spent/orders" databaseField="0"/>
    <cacheField name="Daily AOV" numFmtId="0" formula="revenue/orders" databaseField="0"/>
    <cacheField name="Daily ROAS" numFmtId="0" formula="revenue/mark_spent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8">
  <r>
    <n v="1"/>
    <x v="0"/>
    <x v="0"/>
    <s v="social"/>
    <n v="349043"/>
    <n v="148263"/>
    <n v="7307.37"/>
    <n v="1210"/>
    <n v="13"/>
    <n v="1"/>
    <n v="4981"/>
  </r>
  <r>
    <n v="2"/>
    <x v="0"/>
    <x v="1"/>
    <s v="social"/>
    <n v="348934"/>
    <n v="220688"/>
    <n v="16300.2"/>
    <n v="1640"/>
    <n v="48"/>
    <n v="3"/>
    <n v="14962"/>
  </r>
  <r>
    <n v="3"/>
    <x v="0"/>
    <x v="2"/>
    <s v="search"/>
    <n v="89459845"/>
    <n v="22850"/>
    <n v="5221.6000000000004"/>
    <n v="457"/>
    <n v="9"/>
    <n v="1"/>
    <n v="7981"/>
  </r>
  <r>
    <n v="4"/>
    <x v="0"/>
    <x v="3"/>
    <s v="search"/>
    <n v="127823"/>
    <n v="147038"/>
    <n v="6037"/>
    <n v="1196"/>
    <n v="24"/>
    <n v="1"/>
    <n v="2114"/>
  </r>
  <r>
    <n v="5"/>
    <x v="0"/>
    <x v="4"/>
    <s v="influencer"/>
    <n v="10934"/>
    <n v="225800"/>
    <n v="29962.2"/>
    <n v="2258"/>
    <n v="49"/>
    <n v="10"/>
    <n v="84490"/>
  </r>
  <r>
    <n v="6"/>
    <x v="0"/>
    <x v="5"/>
    <s v="social"/>
    <n v="9034945"/>
    <n v="444857"/>
    <n v="9540.01"/>
    <n v="1342"/>
    <n v="27"/>
    <n v="3"/>
    <n v="17943"/>
  </r>
  <r>
    <n v="7"/>
    <x v="0"/>
    <x v="6"/>
    <s v="social"/>
    <n v="983498"/>
    <n v="511200"/>
    <n v="3648.9"/>
    <n v="2556"/>
    <n v="94"/>
    <n v="1"/>
    <n v="1981"/>
  </r>
  <r>
    <n v="8"/>
    <x v="0"/>
    <x v="7"/>
    <s v="social"/>
    <n v="4387490"/>
    <n v="5544"/>
    <n v="1293.55"/>
    <n v="148"/>
    <n v="3"/>
    <n v="1"/>
    <n v="4981"/>
  </r>
  <r>
    <n v="9"/>
    <x v="0"/>
    <x v="8"/>
    <s v="social"/>
    <n v="544756"/>
    <n v="56916"/>
    <n v="16997.8"/>
    <n v="596"/>
    <n v="14"/>
    <n v="2"/>
    <n v="4162"/>
  </r>
  <r>
    <n v="10"/>
    <x v="0"/>
    <x v="9"/>
    <s v="influencer"/>
    <n v="374754"/>
    <n v="120436"/>
    <n v="23604.1"/>
    <n v="1498"/>
    <n v="49"/>
    <n v="7"/>
    <n v="39081"/>
  </r>
  <r>
    <n v="11"/>
    <x v="0"/>
    <x v="10"/>
    <s v="media"/>
    <n v="39889"/>
    <n v="20900000"/>
    <n v="931.99"/>
    <n v="2090"/>
    <n v="3"/>
    <n v="0"/>
    <n v="0"/>
  </r>
  <r>
    <n v="12"/>
    <x v="1"/>
    <x v="0"/>
    <s v="social"/>
    <n v="349043"/>
    <n v="478200"/>
    <n v="18385.3"/>
    <n v="2391"/>
    <n v="48"/>
    <n v="4"/>
    <n v="17812"/>
  </r>
  <r>
    <n v="13"/>
    <x v="1"/>
    <x v="1"/>
    <s v="social"/>
    <n v="348934"/>
    <n v="957806"/>
    <n v="2198.0500000000002"/>
    <n v="3294"/>
    <n v="10"/>
    <n v="0"/>
    <n v="0"/>
  </r>
  <r>
    <n v="14"/>
    <x v="1"/>
    <x v="2"/>
    <s v="search"/>
    <n v="89459845"/>
    <n v="43806"/>
    <n v="11446.7"/>
    <n v="907"/>
    <n v="18"/>
    <n v="3"/>
    <n v="23943"/>
  </r>
  <r>
    <n v="15"/>
    <x v="1"/>
    <x v="3"/>
    <s v="search"/>
    <n v="127823"/>
    <n v="314704"/>
    <n v="15153.6"/>
    <n v="2395"/>
    <n v="39"/>
    <n v="4"/>
    <n v="12540"/>
  </r>
  <r>
    <n v="16"/>
    <x v="1"/>
    <x v="4"/>
    <s v="influencer"/>
    <n v="10934"/>
    <n v="449200"/>
    <n v="42301.1"/>
    <n v="4492"/>
    <n v="85"/>
    <n v="17"/>
    <n v="149141"/>
  </r>
  <r>
    <n v="17"/>
    <x v="1"/>
    <x v="5"/>
    <s v="social"/>
    <n v="9034945"/>
    <n v="540200"/>
    <n v="29081.1"/>
    <n v="2701"/>
    <n v="54"/>
    <n v="9"/>
    <n v="45585"/>
  </r>
  <r>
    <n v="18"/>
    <x v="1"/>
    <x v="6"/>
    <s v="social"/>
    <n v="983498"/>
    <n v="1020800"/>
    <n v="1421.34"/>
    <n v="5104"/>
    <n v="14"/>
    <n v="0"/>
    <n v="0"/>
  </r>
  <r>
    <n v="19"/>
    <x v="1"/>
    <x v="7"/>
    <s v="social"/>
    <n v="4387490"/>
    <n v="10033"/>
    <n v="169.75"/>
    <n v="301"/>
    <n v="0"/>
    <n v="0"/>
    <n v="0"/>
  </r>
  <r>
    <n v="20"/>
    <x v="1"/>
    <x v="8"/>
    <s v="social"/>
    <n v="544756"/>
    <n v="107553"/>
    <n v="8829.07"/>
    <n v="1196"/>
    <n v="7"/>
    <n v="1"/>
    <n v="1129"/>
  </r>
  <r>
    <n v="21"/>
    <x v="1"/>
    <x v="9"/>
    <s v="influencer"/>
    <n v="374754"/>
    <n v="299600"/>
    <n v="13919.1"/>
    <n v="2996"/>
    <n v="19"/>
    <n v="3"/>
    <n v="14466"/>
  </r>
  <r>
    <n v="22"/>
    <x v="1"/>
    <x v="10"/>
    <s v="media"/>
    <n v="39889"/>
    <n v="42000000"/>
    <n v="46159.8"/>
    <n v="4200"/>
    <n v="92"/>
    <n v="13"/>
    <n v="51753"/>
  </r>
  <r>
    <n v="23"/>
    <x v="2"/>
    <x v="0"/>
    <s v="social"/>
    <n v="349043"/>
    <n v="2313889"/>
    <n v="65284.4"/>
    <n v="7197"/>
    <n v="115"/>
    <n v="13"/>
    <n v="72527"/>
  </r>
  <r>
    <n v="24"/>
    <x v="2"/>
    <x v="1"/>
    <s v="social"/>
    <n v="348934"/>
    <n v="1105666"/>
    <n v="78958.3"/>
    <n v="9898"/>
    <n v="226"/>
    <n v="12"/>
    <n v="59772"/>
  </r>
  <r>
    <n v="25"/>
    <x v="2"/>
    <x v="2"/>
    <s v="search"/>
    <n v="89459845"/>
    <n v="134900"/>
    <n v="77345.5"/>
    <n v="2698"/>
    <n v="84"/>
    <n v="16"/>
    <n v="115856"/>
  </r>
  <r>
    <n v="26"/>
    <x v="2"/>
    <x v="3"/>
    <s v="search"/>
    <n v="127823"/>
    <n v="4371854"/>
    <n v="49498.9"/>
    <n v="7207"/>
    <n v="144"/>
    <n v="13"/>
    <n v="38753"/>
  </r>
  <r>
    <n v="27"/>
    <x v="2"/>
    <x v="4"/>
    <s v="influencer"/>
    <n v="10934"/>
    <n v="1035261"/>
    <n v="189341"/>
    <n v="13503"/>
    <n v="455"/>
    <n v="91"/>
    <n v="772499"/>
  </r>
  <r>
    <n v="28"/>
    <x v="2"/>
    <x v="5"/>
    <s v="social"/>
    <n v="9034945"/>
    <n v="1618600"/>
    <n v="62509.8"/>
    <n v="8093"/>
    <n v="166"/>
    <n v="15"/>
    <n v="84600"/>
  </r>
  <r>
    <n v="29"/>
    <x v="2"/>
    <x v="6"/>
    <s v="social"/>
    <n v="983498"/>
    <n v="3059600"/>
    <n v="94399.9"/>
    <n v="15298"/>
    <n v="592"/>
    <n v="36"/>
    <n v="104184"/>
  </r>
  <r>
    <n v="30"/>
    <x v="2"/>
    <x v="7"/>
    <s v="social"/>
    <n v="4387490"/>
    <n v="29867"/>
    <n v="5039.51"/>
    <n v="896"/>
    <n v="18"/>
    <n v="4"/>
    <n v="23560"/>
  </r>
  <r>
    <n v="31"/>
    <x v="2"/>
    <x v="8"/>
    <s v="social"/>
    <n v="544756"/>
    <n v="295009"/>
    <n v="76716.399999999994"/>
    <n v="3595"/>
    <n v="72"/>
    <n v="9"/>
    <n v="5607"/>
  </r>
  <r>
    <n v="32"/>
    <x v="2"/>
    <x v="9"/>
    <s v="influencer"/>
    <n v="374754"/>
    <n v="667352"/>
    <n v="194336"/>
    <n v="8996"/>
    <n v="342"/>
    <n v="51"/>
    <n v="254031"/>
  </r>
  <r>
    <n v="33"/>
    <x v="2"/>
    <x v="10"/>
    <s v="media"/>
    <n v="39889"/>
    <n v="125910000"/>
    <n v="29378.3"/>
    <n v="12591"/>
    <n v="68"/>
    <n v="13"/>
    <n v="51753"/>
  </r>
  <r>
    <n v="34"/>
    <x v="3"/>
    <x v="0"/>
    <s v="social"/>
    <n v="349043"/>
    <n v="2475754"/>
    <n v="173914"/>
    <n v="9601"/>
    <n v="192"/>
    <n v="31"/>
    <n v="154411"/>
  </r>
  <r>
    <n v="35"/>
    <x v="3"/>
    <x v="1"/>
    <s v="social"/>
    <n v="348934"/>
    <n v="4597702"/>
    <n v="115389"/>
    <n v="13206"/>
    <n v="143"/>
    <n v="17"/>
    <n v="82909"/>
  </r>
  <r>
    <n v="36"/>
    <x v="3"/>
    <x v="2"/>
    <s v="search"/>
    <n v="89459845"/>
    <n v="196484"/>
    <n v="41269.599999999999"/>
    <n v="3599"/>
    <n v="55"/>
    <n v="9"/>
    <n v="68589"/>
  </r>
  <r>
    <n v="37"/>
    <x v="3"/>
    <x v="3"/>
    <s v="search"/>
    <n v="127823"/>
    <n v="1531679"/>
    <n v="60108.800000000003"/>
    <n v="9591"/>
    <n v="234"/>
    <n v="17"/>
    <n v="58990"/>
  </r>
  <r>
    <n v="38"/>
    <x v="3"/>
    <x v="4"/>
    <s v="influencer"/>
    <n v="10934"/>
    <n v="2120555"/>
    <n v="185263"/>
    <n v="17993"/>
    <n v="445"/>
    <n v="89"/>
    <n v="624958"/>
  </r>
  <r>
    <n v="39"/>
    <x v="3"/>
    <x v="5"/>
    <s v="social"/>
    <n v="9034945"/>
    <n v="1322751"/>
    <n v="104028"/>
    <n v="10794"/>
    <n v="238"/>
    <n v="27"/>
    <n v="179037"/>
  </r>
  <r>
    <n v="40"/>
    <x v="3"/>
    <x v="6"/>
    <s v="social"/>
    <n v="983498"/>
    <n v="3008227"/>
    <n v="40119.199999999997"/>
    <n v="20392"/>
    <n v="408"/>
    <n v="12"/>
    <n v="23772"/>
  </r>
  <r>
    <n v="41"/>
    <x v="3"/>
    <x v="7"/>
    <s v="social"/>
    <n v="4387490"/>
    <n v="43160"/>
    <n v="885.75"/>
    <n v="1194"/>
    <n v="4"/>
    <n v="1"/>
    <n v="5287"/>
  </r>
  <r>
    <n v="42"/>
    <x v="3"/>
    <x v="8"/>
    <s v="social"/>
    <n v="544756"/>
    <n v="432611"/>
    <n v="120335"/>
    <n v="4807"/>
    <n v="71"/>
    <n v="13"/>
    <n v="6864"/>
  </r>
  <r>
    <n v="43"/>
    <x v="3"/>
    <x v="9"/>
    <s v="influencer"/>
    <n v="374754"/>
    <n v="1199300"/>
    <n v="149279"/>
    <n v="11993"/>
    <n v="267"/>
    <n v="38"/>
    <n v="224542"/>
  </r>
  <r>
    <n v="44"/>
    <x v="3"/>
    <x v="10"/>
    <s v="media"/>
    <n v="39889"/>
    <n v="41924802"/>
    <n v="177746"/>
    <n v="16806"/>
    <n v="336"/>
    <n v="60"/>
    <n v="204540"/>
  </r>
  <r>
    <n v="45"/>
    <x v="4"/>
    <x v="0"/>
    <s v="social"/>
    <n v="349043"/>
    <n v="3462883"/>
    <n v="90691.7"/>
    <n v="11997"/>
    <n v="143"/>
    <n v="17"/>
    <n v="84677"/>
  </r>
  <r>
    <n v="46"/>
    <x v="4"/>
    <x v="1"/>
    <s v="social"/>
    <n v="348934"/>
    <n v="3299600"/>
    <n v="261047"/>
    <n v="16498"/>
    <n v="330"/>
    <n v="42"/>
    <n v="209202"/>
  </r>
  <r>
    <n v="47"/>
    <x v="4"/>
    <x v="2"/>
    <s v="search"/>
    <n v="89459845"/>
    <n v="236719"/>
    <n v="96930.6"/>
    <n v="4504"/>
    <n v="151"/>
    <n v="23"/>
    <n v="177882"/>
  </r>
  <r>
    <n v="48"/>
    <x v="4"/>
    <x v="3"/>
    <s v="search"/>
    <n v="127823"/>
    <n v="9914040"/>
    <n v="56875.199999999997"/>
    <n v="11993"/>
    <n v="139"/>
    <n v="14"/>
    <n v="49644"/>
  </r>
  <r>
    <n v="49"/>
    <x v="4"/>
    <x v="4"/>
    <s v="influencer"/>
    <n v="10934"/>
    <n v="1965108"/>
    <n v="442617"/>
    <n v="22507"/>
    <n v="731"/>
    <n v="146"/>
    <n v="1165230"/>
  </r>
  <r>
    <n v="50"/>
    <x v="4"/>
    <x v="5"/>
    <s v="social"/>
    <n v="9034945"/>
    <n v="7485780"/>
    <n v="258306"/>
    <n v="13498"/>
    <n v="526"/>
    <n v="76"/>
    <n v="454556"/>
  </r>
  <r>
    <n v="51"/>
    <x v="4"/>
    <x v="6"/>
    <s v="social"/>
    <n v="983498"/>
    <n v="5100600"/>
    <n v="13588.8"/>
    <n v="25503"/>
    <n v="765"/>
    <n v="4"/>
    <n v="7924"/>
  </r>
  <r>
    <n v="52"/>
    <x v="4"/>
    <x v="7"/>
    <s v="social"/>
    <n v="4387490"/>
    <n v="48954"/>
    <n v="6790.74"/>
    <n v="1505"/>
    <n v="30"/>
    <n v="5"/>
    <n v="27060"/>
  </r>
  <r>
    <n v="53"/>
    <x v="4"/>
    <x v="8"/>
    <s v="social"/>
    <n v="544756"/>
    <n v="600400"/>
    <n v="192789"/>
    <n v="6004"/>
    <n v="120"/>
    <n v="21"/>
    <n v="9492"/>
  </r>
  <r>
    <n v="54"/>
    <x v="4"/>
    <x v="9"/>
    <s v="influencer"/>
    <n v="374754"/>
    <n v="2153303"/>
    <n v="36431.699999999997"/>
    <n v="15003"/>
    <n v="51"/>
    <n v="8"/>
    <n v="47816"/>
  </r>
  <r>
    <n v="55"/>
    <x v="4"/>
    <x v="10"/>
    <s v="media"/>
    <n v="39889"/>
    <n v="8238872"/>
    <n v="427922"/>
    <n v="20997"/>
    <n v="796"/>
    <n v="119"/>
    <n v="471240"/>
  </r>
  <r>
    <n v="56"/>
    <x v="5"/>
    <x v="0"/>
    <s v="social"/>
    <n v="349043"/>
    <n v="310024"/>
    <n v="40407.9"/>
    <n v="2391"/>
    <n v="76"/>
    <n v="9"/>
    <n v="46152"/>
  </r>
  <r>
    <n v="57"/>
    <x v="5"/>
    <x v="1"/>
    <s v="social"/>
    <n v="348934"/>
    <n v="448321"/>
    <n v="62272.6"/>
    <n v="3302"/>
    <n v="108"/>
    <n v="9"/>
    <n v="44829"/>
  </r>
  <r>
    <n v="58"/>
    <x v="5"/>
    <x v="2"/>
    <s v="search"/>
    <n v="89459845"/>
    <n v="44950"/>
    <n v="6768.87"/>
    <n v="899"/>
    <n v="13"/>
    <n v="1"/>
    <n v="8136"/>
  </r>
  <r>
    <n v="59"/>
    <x v="5"/>
    <x v="3"/>
    <s v="search"/>
    <n v="127823"/>
    <n v="478400"/>
    <n v="22542"/>
    <n v="2392"/>
    <n v="48"/>
    <n v="6"/>
    <n v="13152"/>
  </r>
  <r>
    <n v="60"/>
    <x v="5"/>
    <x v="4"/>
    <s v="influencer"/>
    <n v="10934"/>
    <n v="472252"/>
    <n v="80971.399999999994"/>
    <n v="4508"/>
    <n v="133"/>
    <n v="27"/>
    <n v="215487"/>
  </r>
  <r>
    <n v="61"/>
    <x v="5"/>
    <x v="5"/>
    <s v="social"/>
    <n v="9034945"/>
    <n v="425467"/>
    <n v="3661.53"/>
    <n v="2695"/>
    <n v="14"/>
    <n v="1"/>
    <n v="5958"/>
  </r>
  <r>
    <n v="62"/>
    <x v="5"/>
    <x v="6"/>
    <s v="social"/>
    <n v="983498"/>
    <n v="1589341"/>
    <n v="12183.4"/>
    <n v="5092"/>
    <n v="102"/>
    <n v="5"/>
    <n v="12295"/>
  </r>
  <r>
    <n v="63"/>
    <x v="5"/>
    <x v="7"/>
    <s v="social"/>
    <n v="4387490"/>
    <n v="10200"/>
    <n v="1420.15"/>
    <n v="306"/>
    <n v="6"/>
    <n v="1"/>
    <n v="5492"/>
  </r>
  <r>
    <n v="64"/>
    <x v="5"/>
    <x v="8"/>
    <s v="social"/>
    <n v="544756"/>
    <n v="119700"/>
    <n v="29281"/>
    <n v="1197"/>
    <n v="24"/>
    <n v="4"/>
    <n v="6428"/>
  </r>
  <r>
    <n v="65"/>
    <x v="5"/>
    <x v="9"/>
    <s v="influencer"/>
    <n v="374754"/>
    <n v="300700"/>
    <n v="8289.2099999999991"/>
    <n v="3007"/>
    <n v="20"/>
    <n v="2"/>
    <n v="9450"/>
  </r>
  <r>
    <n v="66"/>
    <x v="5"/>
    <x v="10"/>
    <s v="media"/>
    <n v="39889"/>
    <n v="42070000"/>
    <n v="38185.199999999997"/>
    <n v="4207"/>
    <n v="84"/>
    <n v="10"/>
    <n v="48820"/>
  </r>
  <r>
    <n v="67"/>
    <x v="6"/>
    <x v="0"/>
    <s v="social"/>
    <n v="349043"/>
    <n v="478000"/>
    <n v="27314.400000000001"/>
    <n v="2390"/>
    <n v="45"/>
    <n v="5"/>
    <n v="24905"/>
  </r>
  <r>
    <n v="68"/>
    <x v="6"/>
    <x v="1"/>
    <s v="social"/>
    <n v="348934"/>
    <n v="659000"/>
    <n v="38485.599999999999"/>
    <n v="3295"/>
    <n v="66"/>
    <n v="5"/>
    <n v="23735"/>
  </r>
  <r>
    <n v="69"/>
    <x v="6"/>
    <x v="2"/>
    <s v="search"/>
    <n v="89459845"/>
    <n v="44650"/>
    <n v="6426"/>
    <n v="893"/>
    <n v="18"/>
    <n v="2"/>
    <n v="14152"/>
  </r>
  <r>
    <n v="70"/>
    <x v="6"/>
    <x v="3"/>
    <s v="search"/>
    <n v="127823"/>
    <n v="1137473"/>
    <n v="18102.099999999999"/>
    <n v="2404"/>
    <n v="48"/>
    <n v="5"/>
    <n v="17845"/>
  </r>
  <r>
    <n v="71"/>
    <x v="6"/>
    <x v="4"/>
    <s v="influencer"/>
    <n v="10934"/>
    <n v="694624"/>
    <n v="31680.1"/>
    <n v="4505"/>
    <n v="82"/>
    <n v="15"/>
    <n v="119715"/>
  </r>
  <r>
    <n v="72"/>
    <x v="6"/>
    <x v="5"/>
    <s v="social"/>
    <n v="9034945"/>
    <n v="1246126"/>
    <n v="37965.9"/>
    <n v="2696"/>
    <n v="100"/>
    <n v="11"/>
    <n v="65791"/>
  </r>
  <r>
    <n v="73"/>
    <x v="6"/>
    <x v="6"/>
    <s v="social"/>
    <n v="983498"/>
    <n v="567096"/>
    <n v="6747.94"/>
    <n v="5103"/>
    <n v="199"/>
    <n v="2"/>
    <n v="3962"/>
  </r>
  <r>
    <n v="74"/>
    <x v="6"/>
    <x v="7"/>
    <s v="social"/>
    <n v="4387490"/>
    <n v="9938"/>
    <n v="3435.44"/>
    <n v="294"/>
    <n v="6"/>
    <n v="1"/>
    <n v="4981"/>
  </r>
  <r>
    <n v="75"/>
    <x v="6"/>
    <x v="8"/>
    <s v="social"/>
    <n v="544756"/>
    <n v="174221"/>
    <n v="10104.9"/>
    <n v="1197"/>
    <n v="6"/>
    <n v="1"/>
    <n v="981"/>
  </r>
  <r>
    <n v="76"/>
    <x v="6"/>
    <x v="9"/>
    <s v="influencer"/>
    <n v="374754"/>
    <n v="300700"/>
    <n v="46167.6"/>
    <n v="3007"/>
    <n v="93"/>
    <n v="12"/>
    <n v="68076"/>
  </r>
  <r>
    <n v="77"/>
    <x v="6"/>
    <x v="10"/>
    <s v="media"/>
    <n v="39889"/>
    <n v="3957603"/>
    <n v="79987.7"/>
    <n v="4203"/>
    <n v="142"/>
    <n v="27"/>
    <n v="90504"/>
  </r>
  <r>
    <n v="78"/>
    <x v="7"/>
    <x v="0"/>
    <s v="social"/>
    <n v="349043"/>
    <n v="479000"/>
    <n v="27210.400000000001"/>
    <n v="2395"/>
    <n v="36"/>
    <n v="5"/>
    <n v="22345"/>
  </r>
  <r>
    <n v="79"/>
    <x v="7"/>
    <x v="1"/>
    <s v="social"/>
    <n v="348934"/>
    <n v="472656"/>
    <n v="33752.800000000003"/>
    <n v="3290"/>
    <n v="66"/>
    <n v="5"/>
    <n v="28670"/>
  </r>
  <r>
    <n v="80"/>
    <x v="7"/>
    <x v="2"/>
    <s v="search"/>
    <n v="89459845"/>
    <n v="51350"/>
    <n v="6918.85"/>
    <n v="904"/>
    <n v="20"/>
    <n v="2"/>
    <n v="16240"/>
  </r>
  <r>
    <n v="81"/>
    <x v="7"/>
    <x v="3"/>
    <s v="search"/>
    <n v="127823"/>
    <n v="478000"/>
    <n v="16567.5"/>
    <n v="2390"/>
    <n v="48"/>
    <n v="5"/>
    <n v="16995"/>
  </r>
  <r>
    <n v="82"/>
    <x v="7"/>
    <x v="4"/>
    <s v="influencer"/>
    <n v="10934"/>
    <n v="685530"/>
    <n v="33892.6"/>
    <n v="4491"/>
    <n v="79"/>
    <n v="16"/>
    <n v="120176"/>
  </r>
  <r>
    <n v="83"/>
    <x v="7"/>
    <x v="5"/>
    <s v="social"/>
    <n v="9034945"/>
    <n v="472836"/>
    <n v="330.76"/>
    <n v="2690"/>
    <n v="1"/>
    <n v="0"/>
    <n v="0"/>
  </r>
  <r>
    <n v="84"/>
    <x v="7"/>
    <x v="6"/>
    <s v="social"/>
    <n v="983498"/>
    <n v="1020000"/>
    <n v="2057.3000000000002"/>
    <n v="5100"/>
    <n v="102"/>
    <n v="1"/>
    <n v="1981"/>
  </r>
  <r>
    <n v="85"/>
    <x v="7"/>
    <x v="7"/>
    <s v="social"/>
    <n v="4387490"/>
    <n v="10067"/>
    <n v="4336.04"/>
    <n v="302"/>
    <n v="10"/>
    <n v="2"/>
    <n v="10036"/>
  </r>
  <r>
    <n v="86"/>
    <x v="7"/>
    <x v="8"/>
    <s v="social"/>
    <n v="544756"/>
    <n v="120200"/>
    <n v="40099"/>
    <n v="1202"/>
    <n v="24"/>
    <n v="5"/>
    <n v="4905"/>
  </r>
  <r>
    <n v="87"/>
    <x v="7"/>
    <x v="9"/>
    <s v="influencer"/>
    <n v="374754"/>
    <n v="361650"/>
    <n v="31154.3"/>
    <n v="2991"/>
    <n v="60"/>
    <n v="9"/>
    <n v="45027"/>
  </r>
  <r>
    <n v="88"/>
    <x v="7"/>
    <x v="10"/>
    <s v="media"/>
    <n v="39889"/>
    <n v="2233790"/>
    <n v="31883.9"/>
    <n v="4197"/>
    <n v="84"/>
    <n v="10"/>
    <n v="42280"/>
  </r>
  <r>
    <n v="89"/>
    <x v="8"/>
    <x v="0"/>
    <s v="social"/>
    <n v="349043"/>
    <n v="478600"/>
    <n v="49036.5"/>
    <n v="2393"/>
    <n v="68"/>
    <n v="9"/>
    <n v="42813"/>
  </r>
  <r>
    <n v="90"/>
    <x v="8"/>
    <x v="1"/>
    <s v="social"/>
    <n v="348934"/>
    <n v="555116"/>
    <n v="62119.4"/>
    <n v="3303"/>
    <n v="96"/>
    <n v="11"/>
    <n v="54791"/>
  </r>
  <r>
    <n v="91"/>
    <x v="8"/>
    <x v="2"/>
    <s v="search"/>
    <n v="89459845"/>
    <n v="44900"/>
    <n v="3095.21"/>
    <n v="898"/>
    <n v="5"/>
    <n v="1"/>
    <n v="7998"/>
  </r>
  <r>
    <n v="92"/>
    <x v="8"/>
    <x v="3"/>
    <s v="search"/>
    <n v="127823"/>
    <n v="478600"/>
    <n v="20299.3"/>
    <n v="2393"/>
    <n v="48"/>
    <n v="5"/>
    <n v="14905"/>
  </r>
  <r>
    <n v="93"/>
    <x v="8"/>
    <x v="4"/>
    <s v="influencer"/>
    <n v="10934"/>
    <n v="491821"/>
    <n v="27833"/>
    <n v="4495"/>
    <n v="90"/>
    <n v="18"/>
    <n v="143658"/>
  </r>
  <r>
    <n v="94"/>
    <x v="8"/>
    <x v="5"/>
    <s v="social"/>
    <n v="9034945"/>
    <n v="759532"/>
    <n v="10317"/>
    <n v="2701"/>
    <n v="19"/>
    <n v="3"/>
    <n v="19800"/>
  </r>
  <r>
    <n v="95"/>
    <x v="8"/>
    <x v="6"/>
    <s v="social"/>
    <n v="983498"/>
    <n v="1022000"/>
    <n v="7398.26"/>
    <n v="5110"/>
    <n v="102"/>
    <n v="3"/>
    <n v="5943"/>
  </r>
  <r>
    <n v="96"/>
    <x v="8"/>
    <x v="7"/>
    <s v="social"/>
    <n v="4387490"/>
    <n v="9721"/>
    <n v="2152.37"/>
    <n v="290"/>
    <n v="6"/>
    <n v="1"/>
    <n v="4353"/>
  </r>
  <r>
    <n v="97"/>
    <x v="8"/>
    <x v="8"/>
    <s v="social"/>
    <n v="544756"/>
    <n v="189854"/>
    <n v="29091.4"/>
    <n v="1198"/>
    <n v="24"/>
    <n v="3"/>
    <n v="2943"/>
  </r>
  <r>
    <n v="98"/>
    <x v="8"/>
    <x v="9"/>
    <s v="influencer"/>
    <n v="374754"/>
    <n v="346068"/>
    <n v="57642.400000000001"/>
    <n v="3006"/>
    <n v="99"/>
    <n v="15"/>
    <n v="89460"/>
  </r>
  <r>
    <n v="99"/>
    <x v="8"/>
    <x v="10"/>
    <s v="media"/>
    <n v="39889"/>
    <n v="3736884"/>
    <n v="44731.7"/>
    <n v="4190"/>
    <n v="84"/>
    <n v="13"/>
    <n v="51259"/>
  </r>
  <r>
    <n v="100"/>
    <x v="9"/>
    <x v="0"/>
    <s v="social"/>
    <n v="349043"/>
    <n v="961800"/>
    <n v="43386.400000000001"/>
    <n v="4809"/>
    <n v="96"/>
    <n v="8"/>
    <n v="42400"/>
  </r>
  <r>
    <n v="101"/>
    <x v="9"/>
    <x v="1"/>
    <s v="social"/>
    <n v="348934"/>
    <n v="852250"/>
    <n v="43865.9"/>
    <n v="6596"/>
    <n v="132"/>
    <n v="7"/>
    <n v="34867"/>
  </r>
  <r>
    <n v="102"/>
    <x v="9"/>
    <x v="2"/>
    <s v="search"/>
    <n v="89459845"/>
    <n v="108748"/>
    <n v="51883.1"/>
    <n v="1797"/>
    <n v="57"/>
    <n v="11"/>
    <n v="86724"/>
  </r>
  <r>
    <n v="103"/>
    <x v="9"/>
    <x v="3"/>
    <s v="search"/>
    <n v="127823"/>
    <n v="797238"/>
    <n v="67577.8"/>
    <n v="4797"/>
    <n v="154"/>
    <n v="19"/>
    <n v="42598"/>
  </r>
  <r>
    <n v="104"/>
    <x v="9"/>
    <x v="4"/>
    <s v="influencer"/>
    <n v="10934"/>
    <n v="1469962"/>
    <n v="19831.400000000001"/>
    <n v="8998"/>
    <n v="80"/>
    <n v="16"/>
    <n v="130768"/>
  </r>
  <r>
    <n v="105"/>
    <x v="9"/>
    <x v="5"/>
    <s v="social"/>
    <n v="9034945"/>
    <n v="3858193"/>
    <n v="38890.300000000003"/>
    <n v="5406"/>
    <n v="186"/>
    <n v="14"/>
    <n v="83734"/>
  </r>
  <r>
    <n v="106"/>
    <x v="9"/>
    <x v="6"/>
    <s v="social"/>
    <n v="983498"/>
    <n v="2040000"/>
    <n v="14147.9"/>
    <n v="10200"/>
    <n v="395"/>
    <n v="4"/>
    <n v="7924"/>
  </r>
  <r>
    <n v="107"/>
    <x v="9"/>
    <x v="7"/>
    <s v="social"/>
    <n v="4387490"/>
    <n v="18399"/>
    <n v="12713"/>
    <n v="599"/>
    <n v="22"/>
    <n v="5"/>
    <n v="27065"/>
  </r>
  <r>
    <n v="108"/>
    <x v="9"/>
    <x v="8"/>
    <s v="social"/>
    <n v="544756"/>
    <n v="321713"/>
    <n v="131236"/>
    <n v="2396"/>
    <n v="88"/>
    <n v="15"/>
    <n v="14715"/>
  </r>
  <r>
    <n v="109"/>
    <x v="9"/>
    <x v="9"/>
    <s v="influencer"/>
    <n v="374754"/>
    <n v="489728"/>
    <n v="126901"/>
    <n v="6005"/>
    <n v="187"/>
    <n v="34"/>
    <n v="143888"/>
  </r>
  <r>
    <n v="110"/>
    <x v="9"/>
    <x v="10"/>
    <s v="media"/>
    <n v="39889"/>
    <n v="5219501"/>
    <n v="179519"/>
    <n v="8391"/>
    <n v="302"/>
    <n v="60"/>
    <n v="196680"/>
  </r>
  <r>
    <n v="111"/>
    <x v="10"/>
    <x v="0"/>
    <s v="social"/>
    <n v="349043"/>
    <n v="1061233"/>
    <n v="105681"/>
    <n v="7206"/>
    <n v="144"/>
    <n v="23"/>
    <n v="105225"/>
  </r>
  <r>
    <n v="112"/>
    <x v="10"/>
    <x v="1"/>
    <s v="social"/>
    <n v="348934"/>
    <n v="4564542"/>
    <n v="188516"/>
    <n v="9895"/>
    <n v="304"/>
    <n v="28"/>
    <n v="131068"/>
  </r>
  <r>
    <n v="113"/>
    <x v="10"/>
    <x v="2"/>
    <s v="search"/>
    <n v="89459845"/>
    <n v="134600"/>
    <n v="26220.400000000001"/>
    <n v="2692"/>
    <n v="54"/>
    <n v="6"/>
    <n v="48990"/>
  </r>
  <r>
    <n v="114"/>
    <x v="10"/>
    <x v="3"/>
    <s v="search"/>
    <n v="127823"/>
    <n v="1254537"/>
    <n v="51422.5"/>
    <n v="7198"/>
    <n v="144"/>
    <n v="14"/>
    <n v="41986"/>
  </r>
  <r>
    <n v="115"/>
    <x v="10"/>
    <x v="4"/>
    <s v="influencer"/>
    <n v="10934"/>
    <n v="1210466"/>
    <n v="197161"/>
    <n v="13506"/>
    <n v="474"/>
    <n v="95"/>
    <n v="831820"/>
  </r>
  <r>
    <n v="116"/>
    <x v="10"/>
    <x v="5"/>
    <s v="social"/>
    <n v="9034945"/>
    <n v="2224531"/>
    <n v="348.99"/>
    <n v="8106"/>
    <n v="1"/>
    <n v="0"/>
    <n v="0"/>
  </r>
  <r>
    <n v="117"/>
    <x v="10"/>
    <x v="6"/>
    <s v="social"/>
    <n v="983498"/>
    <n v="3058200"/>
    <n v="4138.7299999999996"/>
    <n v="15291"/>
    <n v="114"/>
    <n v="1"/>
    <n v="2771"/>
  </r>
  <r>
    <n v="118"/>
    <x v="10"/>
    <x v="7"/>
    <s v="social"/>
    <n v="4387490"/>
    <n v="26774"/>
    <n v="17711.099999999999"/>
    <n v="893"/>
    <n v="27"/>
    <n v="6"/>
    <n v="29886"/>
  </r>
  <r>
    <n v="119"/>
    <x v="10"/>
    <x v="8"/>
    <s v="social"/>
    <n v="544756"/>
    <n v="359500"/>
    <n v="6171.15"/>
    <n v="3595"/>
    <n v="5"/>
    <n v="1"/>
    <n v="677"/>
  </r>
  <r>
    <n v="120"/>
    <x v="10"/>
    <x v="9"/>
    <s v="influencer"/>
    <n v="374754"/>
    <n v="900400"/>
    <n v="128751"/>
    <n v="9004"/>
    <n v="227"/>
    <n v="29"/>
    <n v="143869"/>
  </r>
  <r>
    <n v="121"/>
    <x v="10"/>
    <x v="10"/>
    <s v="media"/>
    <n v="39889"/>
    <n v="5125187"/>
    <n v="193124"/>
    <n v="12602"/>
    <n v="482"/>
    <n v="57"/>
    <n v="226917"/>
  </r>
  <r>
    <n v="122"/>
    <x v="11"/>
    <x v="0"/>
    <s v="social"/>
    <n v="349043"/>
    <n v="1804868"/>
    <n v="110004"/>
    <n v="9607"/>
    <n v="192"/>
    <n v="23"/>
    <n v="96163"/>
  </r>
  <r>
    <n v="123"/>
    <x v="11"/>
    <x v="1"/>
    <s v="social"/>
    <n v="348934"/>
    <n v="2639200"/>
    <n v="191722"/>
    <n v="13196"/>
    <n v="325"/>
    <n v="32"/>
    <n v="176512"/>
  </r>
  <r>
    <n v="124"/>
    <x v="11"/>
    <x v="2"/>
    <s v="search"/>
    <n v="89459845"/>
    <n v="161493"/>
    <n v="59745.3"/>
    <n v="3602"/>
    <n v="72"/>
    <n v="14"/>
    <n v="122710"/>
  </r>
  <r>
    <n v="125"/>
    <x v="11"/>
    <x v="3"/>
    <s v="search"/>
    <n v="127823"/>
    <n v="1502383"/>
    <n v="86733.1"/>
    <n v="9605"/>
    <n v="192"/>
    <n v="19"/>
    <n v="56639"/>
  </r>
  <r>
    <n v="126"/>
    <x v="11"/>
    <x v="4"/>
    <s v="influencer"/>
    <n v="10934"/>
    <n v="1299708"/>
    <n v="121652"/>
    <n v="17994"/>
    <n v="378"/>
    <n v="61"/>
    <n v="486841"/>
  </r>
  <r>
    <n v="127"/>
    <x v="11"/>
    <x v="5"/>
    <s v="social"/>
    <n v="9034945"/>
    <n v="3735390"/>
    <n v="26659.9"/>
    <n v="10806"/>
    <n v="115"/>
    <n v="9"/>
    <n v="53523"/>
  </r>
  <r>
    <n v="128"/>
    <x v="11"/>
    <x v="6"/>
    <s v="social"/>
    <n v="983498"/>
    <n v="7156880"/>
    <n v="49060.3"/>
    <n v="20391"/>
    <n v="408"/>
    <n v="15"/>
    <n v="29715"/>
  </r>
  <r>
    <n v="129"/>
    <x v="11"/>
    <x v="7"/>
    <s v="social"/>
    <n v="4387490"/>
    <n v="42587"/>
    <n v="11278.3"/>
    <n v="1207"/>
    <n v="34"/>
    <n v="8"/>
    <n v="39848"/>
  </r>
  <r>
    <n v="130"/>
    <x v="11"/>
    <x v="8"/>
    <s v="social"/>
    <n v="544756"/>
    <n v="480000"/>
    <n v="44580.9"/>
    <n v="4800"/>
    <n v="33"/>
    <n v="5"/>
    <n v="6945"/>
  </r>
  <r>
    <n v="131"/>
    <x v="11"/>
    <x v="9"/>
    <s v="influencer"/>
    <n v="374754"/>
    <n v="1200300"/>
    <n v="308572"/>
    <n v="12003"/>
    <n v="412"/>
    <n v="79"/>
    <n v="393499"/>
  </r>
  <r>
    <n v="132"/>
    <x v="11"/>
    <x v="10"/>
    <s v="media"/>
    <n v="39889"/>
    <n v="10819771"/>
    <n v="145201"/>
    <n v="16808"/>
    <n v="336"/>
    <n v="49"/>
    <n v="195069"/>
  </r>
  <r>
    <n v="133"/>
    <x v="12"/>
    <x v="0"/>
    <s v="social"/>
    <n v="349043"/>
    <n v="1496322"/>
    <n v="308692"/>
    <n v="11990"/>
    <n v="397"/>
    <n v="60"/>
    <n v="341880"/>
  </r>
  <r>
    <n v="134"/>
    <x v="12"/>
    <x v="1"/>
    <s v="social"/>
    <n v="348934"/>
    <n v="2358224"/>
    <n v="325444"/>
    <n v="16506"/>
    <n v="655"/>
    <n v="52"/>
    <n v="262184"/>
  </r>
  <r>
    <n v="135"/>
    <x v="12"/>
    <x v="2"/>
    <s v="search"/>
    <n v="89459845"/>
    <n v="225350"/>
    <n v="61588.1"/>
    <n v="4507"/>
    <n v="100"/>
    <n v="17"/>
    <n v="152660"/>
  </r>
  <r>
    <n v="136"/>
    <x v="12"/>
    <x v="3"/>
    <s v="search"/>
    <n v="127823"/>
    <n v="3452027"/>
    <n v="216562"/>
    <n v="12010"/>
    <n v="378"/>
    <n v="56"/>
    <n v="123088"/>
  </r>
  <r>
    <n v="137"/>
    <x v="12"/>
    <x v="4"/>
    <s v="influencer"/>
    <n v="10934"/>
    <n v="2250900"/>
    <n v="205045"/>
    <n v="22509"/>
    <n v="790"/>
    <n v="158"/>
    <n v="1296550"/>
  </r>
  <r>
    <n v="138"/>
    <x v="12"/>
    <x v="5"/>
    <s v="social"/>
    <n v="9034945"/>
    <n v="2698200"/>
    <n v="88844.800000000003"/>
    <n v="13491"/>
    <n v="219"/>
    <n v="26"/>
    <n v="176384"/>
  </r>
  <r>
    <n v="139"/>
    <x v="12"/>
    <x v="6"/>
    <s v="social"/>
    <n v="983498"/>
    <n v="5100600"/>
    <n v="16656.8"/>
    <n v="25503"/>
    <n v="510"/>
    <n v="6"/>
    <n v="10134"/>
  </r>
  <r>
    <n v="140"/>
    <x v="12"/>
    <x v="7"/>
    <s v="social"/>
    <n v="4387490"/>
    <n v="50333"/>
    <n v="8367.08"/>
    <n v="1510"/>
    <n v="19"/>
    <n v="4"/>
    <n v="18828"/>
  </r>
  <r>
    <n v="141"/>
    <x v="12"/>
    <x v="8"/>
    <s v="social"/>
    <n v="544756"/>
    <n v="495013"/>
    <n v="171332"/>
    <n v="6006"/>
    <n v="128"/>
    <n v="19"/>
    <n v="24035"/>
  </r>
  <r>
    <n v="142"/>
    <x v="12"/>
    <x v="9"/>
    <s v="influencer"/>
    <n v="374754"/>
    <n v="1499200"/>
    <n v="32770.1"/>
    <n v="14992"/>
    <n v="50"/>
    <n v="8"/>
    <n v="43976"/>
  </r>
  <r>
    <n v="143"/>
    <x v="12"/>
    <x v="10"/>
    <s v="media"/>
    <n v="39889"/>
    <n v="17890507"/>
    <n v="390105"/>
    <n v="20993"/>
    <n v="734"/>
    <n v="118"/>
    <n v="353174"/>
  </r>
  <r>
    <n v="144"/>
    <x v="13"/>
    <x v="0"/>
    <s v="social"/>
    <n v="349043"/>
    <n v="2452315"/>
    <n v="60244.9"/>
    <n v="14406"/>
    <n v="110"/>
    <n v="14"/>
    <n v="63560"/>
  </r>
  <r>
    <n v="145"/>
    <x v="13"/>
    <x v="1"/>
    <s v="social"/>
    <n v="348934"/>
    <n v="7936534"/>
    <n v="197948"/>
    <n v="19797"/>
    <n v="396"/>
    <n v="30"/>
    <n v="149430"/>
  </r>
  <r>
    <n v="146"/>
    <x v="13"/>
    <x v="2"/>
    <s v="search"/>
    <n v="89459845"/>
    <n v="263754"/>
    <n v="56440.3"/>
    <n v="5409"/>
    <n v="90"/>
    <n v="11"/>
    <n v="84183"/>
  </r>
  <r>
    <n v="147"/>
    <x v="13"/>
    <x v="3"/>
    <s v="search"/>
    <n v="127823"/>
    <n v="3111389"/>
    <n v="196998"/>
    <n v="14390"/>
    <n v="498"/>
    <n v="48"/>
    <n v="101280"/>
  </r>
  <r>
    <n v="148"/>
    <x v="13"/>
    <x v="4"/>
    <s v="influencer"/>
    <n v="10934"/>
    <n v="2511956"/>
    <n v="231751"/>
    <n v="26993"/>
    <n v="540"/>
    <n v="85"/>
    <n v="733550"/>
  </r>
  <r>
    <n v="149"/>
    <x v="13"/>
    <x v="5"/>
    <s v="social"/>
    <n v="9034945"/>
    <n v="3239400"/>
    <n v="312844"/>
    <n v="16197"/>
    <n v="604"/>
    <n v="72"/>
    <n v="377352"/>
  </r>
  <r>
    <n v="150"/>
    <x v="13"/>
    <x v="6"/>
    <s v="social"/>
    <n v="983498"/>
    <n v="5130500"/>
    <n v="218228"/>
    <n v="30602"/>
    <n v="935"/>
    <n v="54"/>
    <n v="119718"/>
  </r>
  <r>
    <n v="151"/>
    <x v="13"/>
    <x v="7"/>
    <s v="social"/>
    <n v="4387490"/>
    <n v="55495"/>
    <n v="4764.34"/>
    <n v="1790"/>
    <n v="10"/>
    <n v="2"/>
    <n v="10902"/>
  </r>
  <r>
    <n v="152"/>
    <x v="13"/>
    <x v="8"/>
    <s v="social"/>
    <n v="544756"/>
    <n v="605220"/>
    <n v="170719"/>
    <n v="7205"/>
    <n v="142"/>
    <n v="21"/>
    <n v="14280"/>
  </r>
  <r>
    <n v="153"/>
    <x v="13"/>
    <x v="9"/>
    <s v="influencer"/>
    <n v="374754"/>
    <n v="2429465"/>
    <n v="205870"/>
    <n v="17998"/>
    <n v="354"/>
    <n v="53"/>
    <n v="306817"/>
  </r>
  <r>
    <n v="154"/>
    <x v="13"/>
    <x v="10"/>
    <s v="media"/>
    <n v="39889"/>
    <n v="7218480"/>
    <n v="225274"/>
    <n v="25190"/>
    <n v="504"/>
    <n v="76"/>
    <n v="236056"/>
  </r>
  <r>
    <n v="155"/>
    <x v="14"/>
    <x v="0"/>
    <s v="social"/>
    <n v="349043"/>
    <n v="3361800"/>
    <n v="168064"/>
    <n v="16809"/>
    <n v="247"/>
    <n v="30"/>
    <n v="149430"/>
  </r>
  <r>
    <n v="156"/>
    <x v="14"/>
    <x v="1"/>
    <s v="social"/>
    <n v="348934"/>
    <n v="3441545"/>
    <n v="593576"/>
    <n v="23103"/>
    <n v="694"/>
    <n v="81"/>
    <n v="403461"/>
  </r>
  <r>
    <n v="157"/>
    <x v="14"/>
    <x v="2"/>
    <s v="search"/>
    <n v="89459845"/>
    <n v="315350"/>
    <n v="82930.7"/>
    <n v="6307"/>
    <n v="126"/>
    <n v="19"/>
    <n v="138073"/>
  </r>
  <r>
    <n v="158"/>
    <x v="14"/>
    <x v="3"/>
    <s v="search"/>
    <n v="127823"/>
    <n v="3359600"/>
    <n v="124854"/>
    <n v="16798"/>
    <n v="336"/>
    <n v="31"/>
    <n v="92411"/>
  </r>
  <r>
    <n v="159"/>
    <x v="14"/>
    <x v="4"/>
    <s v="influencer"/>
    <n v="10934"/>
    <n v="2478877"/>
    <n v="151480"/>
    <n v="31504"/>
    <n v="630"/>
    <n v="98"/>
    <n v="782138"/>
  </r>
  <r>
    <n v="160"/>
    <x v="14"/>
    <x v="5"/>
    <s v="social"/>
    <n v="9034945"/>
    <n v="3780200"/>
    <n v="136269"/>
    <n v="18901"/>
    <n v="378"/>
    <n v="45"/>
    <n v="269145"/>
  </r>
  <r>
    <n v="161"/>
    <x v="14"/>
    <x v="6"/>
    <s v="social"/>
    <n v="983498"/>
    <n v="7138400"/>
    <n v="37098.6"/>
    <n v="35692"/>
    <n v="916"/>
    <n v="11"/>
    <n v="21791"/>
  </r>
  <r>
    <n v="162"/>
    <x v="14"/>
    <x v="7"/>
    <s v="social"/>
    <n v="4387490"/>
    <n v="63986"/>
    <n v="14609.5"/>
    <n v="2099"/>
    <n v="28"/>
    <n v="5"/>
    <n v="24905"/>
  </r>
  <r>
    <n v="163"/>
    <x v="14"/>
    <x v="8"/>
    <s v="social"/>
    <n v="544756"/>
    <n v="1093435"/>
    <n v="6587.76"/>
    <n v="8402"/>
    <n v="4"/>
    <n v="1"/>
    <n v="741"/>
  </r>
  <r>
    <n v="164"/>
    <x v="14"/>
    <x v="9"/>
    <s v="influencer"/>
    <n v="374754"/>
    <n v="2100700"/>
    <n v="82452"/>
    <n v="21007"/>
    <n v="122"/>
    <n v="24"/>
    <n v="103392"/>
  </r>
  <r>
    <n v="165"/>
    <x v="14"/>
    <x v="10"/>
    <s v="media"/>
    <n v="39889"/>
    <n v="8747458"/>
    <n v="543275"/>
    <n v="29390"/>
    <n v="1061"/>
    <n v="171"/>
    <n v="809685"/>
  </r>
  <r>
    <n v="166"/>
    <x v="15"/>
    <x v="0"/>
    <s v="social"/>
    <n v="349043"/>
    <n v="3839000"/>
    <n v="393027"/>
    <n v="19195"/>
    <n v="384"/>
    <n v="64"/>
    <n v="336448"/>
  </r>
  <r>
    <n v="167"/>
    <x v="15"/>
    <x v="1"/>
    <s v="social"/>
    <n v="348934"/>
    <n v="5280000"/>
    <n v="595176"/>
    <n v="26400"/>
    <n v="923"/>
    <n v="80"/>
    <n v="392160"/>
  </r>
  <r>
    <n v="168"/>
    <x v="15"/>
    <x v="2"/>
    <s v="search"/>
    <n v="89459845"/>
    <n v="373184"/>
    <n v="102053"/>
    <n v="7198"/>
    <n v="144"/>
    <n v="22"/>
    <n v="185482"/>
  </r>
  <r>
    <n v="169"/>
    <x v="15"/>
    <x v="3"/>
    <s v="search"/>
    <n v="127823"/>
    <n v="3841400"/>
    <n v="271906"/>
    <n v="19207"/>
    <n v="666"/>
    <n v="67"/>
    <n v="199727"/>
  </r>
  <r>
    <n v="170"/>
    <x v="15"/>
    <x v="4"/>
    <s v="influencer"/>
    <n v="10934"/>
    <n v="4371118"/>
    <n v="221258"/>
    <n v="35999"/>
    <n v="720"/>
    <n v="128"/>
    <n v="1021570"/>
  </r>
  <r>
    <n v="171"/>
    <x v="15"/>
    <x v="5"/>
    <s v="social"/>
    <n v="9034945"/>
    <n v="4319200"/>
    <n v="143680"/>
    <n v="21596"/>
    <n v="432"/>
    <n v="34"/>
    <n v="171972"/>
  </r>
  <r>
    <n v="172"/>
    <x v="15"/>
    <x v="6"/>
    <s v="social"/>
    <n v="983498"/>
    <n v="15988504"/>
    <n v="103731"/>
    <n v="40794"/>
    <n v="816"/>
    <n v="24"/>
    <n v="41424"/>
  </r>
  <r>
    <n v="173"/>
    <x v="15"/>
    <x v="7"/>
    <s v="social"/>
    <n v="4387490"/>
    <n v="80233"/>
    <n v="31712"/>
    <n v="2407"/>
    <n v="48"/>
    <n v="12"/>
    <n v="59772"/>
  </r>
  <r>
    <n v="174"/>
    <x v="15"/>
    <x v="8"/>
    <s v="social"/>
    <n v="544756"/>
    <n v="1576818"/>
    <n v="345629"/>
    <n v="9597"/>
    <n v="292"/>
    <n v="39"/>
    <n v="25857"/>
  </r>
  <r>
    <n v="175"/>
    <x v="15"/>
    <x v="9"/>
    <s v="influencer"/>
    <n v="374754"/>
    <n v="3937010"/>
    <n v="620903"/>
    <n v="23994"/>
    <n v="833"/>
    <n v="160"/>
    <n v="939360"/>
  </r>
  <r>
    <n v="176"/>
    <x v="15"/>
    <x v="10"/>
    <s v="media"/>
    <n v="39889"/>
    <n v="56876855"/>
    <n v="206424"/>
    <n v="33592"/>
    <n v="416"/>
    <n v="62"/>
    <n v="246822"/>
  </r>
  <r>
    <n v="177"/>
    <x v="16"/>
    <x v="0"/>
    <s v="social"/>
    <n v="349043"/>
    <n v="4320600"/>
    <n v="489831"/>
    <n v="21603"/>
    <n v="652"/>
    <n v="86"/>
    <n v="428366"/>
  </r>
  <r>
    <n v="178"/>
    <x v="16"/>
    <x v="1"/>
    <s v="social"/>
    <n v="348934"/>
    <n v="6102420"/>
    <n v="403691"/>
    <n v="29704"/>
    <n v="594"/>
    <n v="61"/>
    <n v="303841"/>
  </r>
  <r>
    <n v="179"/>
    <x v="16"/>
    <x v="2"/>
    <s v="search"/>
    <n v="89459845"/>
    <n v="490058"/>
    <n v="116213"/>
    <n v="8104"/>
    <n v="162"/>
    <n v="31"/>
    <n v="227726"/>
  </r>
  <r>
    <n v="180"/>
    <x v="16"/>
    <x v="3"/>
    <s v="search"/>
    <n v="127823"/>
    <n v="4319200"/>
    <n v="180223"/>
    <n v="21596"/>
    <n v="442"/>
    <n v="44"/>
    <n v="136708"/>
  </r>
  <r>
    <n v="181"/>
    <x v="16"/>
    <x v="4"/>
    <s v="influencer"/>
    <n v="10934"/>
    <n v="4049400"/>
    <n v="363811"/>
    <n v="40494"/>
    <n v="746"/>
    <n v="149"/>
    <n v="1189170"/>
  </r>
  <r>
    <n v="182"/>
    <x v="16"/>
    <x v="5"/>
    <s v="social"/>
    <n v="9034945"/>
    <n v="4999407"/>
    <n v="246023"/>
    <n v="24294"/>
    <n v="606"/>
    <n v="73"/>
    <n v="496546"/>
  </r>
  <r>
    <n v="183"/>
    <x v="16"/>
    <x v="6"/>
    <s v="social"/>
    <n v="983498"/>
    <n v="32964848"/>
    <n v="162819"/>
    <n v="45907"/>
    <n v="974"/>
    <n v="46"/>
    <n v="121900"/>
  </r>
  <r>
    <n v="184"/>
    <x v="16"/>
    <x v="7"/>
    <s v="social"/>
    <n v="4387490"/>
    <n v="84332"/>
    <n v="31422.5"/>
    <n v="2698"/>
    <n v="54"/>
    <n v="11"/>
    <n v="45441"/>
  </r>
  <r>
    <n v="185"/>
    <x v="16"/>
    <x v="8"/>
    <s v="social"/>
    <n v="544756"/>
    <n v="1361187"/>
    <n v="291254"/>
    <n v="10810"/>
    <n v="216"/>
    <n v="32"/>
    <n v="31392"/>
  </r>
  <r>
    <n v="186"/>
    <x v="16"/>
    <x v="9"/>
    <s v="influencer"/>
    <n v="374754"/>
    <n v="2795511"/>
    <n v="462606"/>
    <n v="26990"/>
    <n v="795"/>
    <n v="119"/>
    <n v="592739"/>
  </r>
  <r>
    <n v="187"/>
    <x v="16"/>
    <x v="10"/>
    <s v="media"/>
    <n v="39889"/>
    <n v="16553044"/>
    <n v="523398"/>
    <n v="37805"/>
    <n v="756"/>
    <n v="142"/>
    <n v="565302"/>
  </r>
  <r>
    <n v="188"/>
    <x v="17"/>
    <x v="0"/>
    <s v="social"/>
    <n v="349043"/>
    <n v="4798200"/>
    <n v="30892.2"/>
    <n v="23991"/>
    <n v="61"/>
    <n v="6"/>
    <n v="25686"/>
  </r>
  <r>
    <n v="189"/>
    <x v="17"/>
    <x v="1"/>
    <s v="social"/>
    <n v="348934"/>
    <n v="4678356"/>
    <n v="373294"/>
    <n v="33003"/>
    <n v="1313"/>
    <n v="51"/>
    <n v="237711"/>
  </r>
  <r>
    <n v="190"/>
    <x v="17"/>
    <x v="2"/>
    <s v="search"/>
    <n v="89459845"/>
    <n v="527210"/>
    <n v="119542"/>
    <n v="9004"/>
    <n v="162"/>
    <n v="28"/>
    <n v="214368"/>
  </r>
  <r>
    <n v="191"/>
    <x v="17"/>
    <x v="3"/>
    <s v="search"/>
    <n v="127823"/>
    <n v="10593685"/>
    <n v="200986"/>
    <n v="24005"/>
    <n v="480"/>
    <n v="43"/>
    <n v="93353"/>
  </r>
  <r>
    <n v="192"/>
    <x v="17"/>
    <x v="4"/>
    <s v="influencer"/>
    <n v="10934"/>
    <n v="4064081"/>
    <n v="86522.9"/>
    <n v="45004"/>
    <n v="144"/>
    <n v="31"/>
    <n v="256897"/>
  </r>
  <r>
    <n v="193"/>
    <x v="17"/>
    <x v="5"/>
    <s v="social"/>
    <n v="9034945"/>
    <n v="11212959"/>
    <n v="241388"/>
    <n v="27009"/>
    <n v="599"/>
    <n v="72"/>
    <n v="430632"/>
  </r>
  <r>
    <n v="194"/>
    <x v="17"/>
    <x v="6"/>
    <s v="social"/>
    <n v="983498"/>
    <n v="13281923"/>
    <n v="58596.4"/>
    <n v="51000"/>
    <n v="1020"/>
    <n v="16"/>
    <n v="36016"/>
  </r>
  <r>
    <n v="195"/>
    <x v="17"/>
    <x v="7"/>
    <s v="social"/>
    <n v="4387490"/>
    <n v="97885"/>
    <n v="17176.7"/>
    <n v="2991"/>
    <n v="28"/>
    <n v="6"/>
    <n v="33930"/>
  </r>
  <r>
    <n v="196"/>
    <x v="17"/>
    <x v="8"/>
    <s v="social"/>
    <n v="544756"/>
    <n v="1181224"/>
    <n v="171831"/>
    <n v="11991"/>
    <n v="128"/>
    <n v="19"/>
    <n v="17917"/>
  </r>
  <r>
    <n v="197"/>
    <x v="17"/>
    <x v="9"/>
    <s v="influencer"/>
    <n v="374754"/>
    <n v="2482796"/>
    <n v="518530"/>
    <n v="30000"/>
    <n v="1032"/>
    <n v="134"/>
    <n v="796630"/>
  </r>
  <r>
    <n v="198"/>
    <x v="17"/>
    <x v="10"/>
    <s v="media"/>
    <n v="39889"/>
    <n v="419970000"/>
    <n v="339735"/>
    <n v="41997"/>
    <n v="840"/>
    <n v="114"/>
    <n v="516420"/>
  </r>
  <r>
    <n v="199"/>
    <x v="18"/>
    <x v="0"/>
    <s v="social"/>
    <n v="349043"/>
    <n v="15345139"/>
    <n v="53253.9"/>
    <n v="26407"/>
    <n v="71"/>
    <n v="10"/>
    <n v="44550"/>
  </r>
  <r>
    <n v="200"/>
    <x v="18"/>
    <x v="1"/>
    <s v="social"/>
    <n v="348934"/>
    <n v="7260800"/>
    <n v="415376"/>
    <n v="36304"/>
    <n v="726"/>
    <n v="58"/>
    <n v="288898"/>
  </r>
  <r>
    <n v="201"/>
    <x v="18"/>
    <x v="2"/>
    <s v="search"/>
    <n v="89459845"/>
    <n v="413291"/>
    <n v="9777.5499999999993"/>
    <n v="9904"/>
    <n v="14"/>
    <n v="2"/>
    <n v="15962"/>
  </r>
  <r>
    <n v="202"/>
    <x v="18"/>
    <x v="3"/>
    <s v="search"/>
    <n v="127823"/>
    <n v="8455475"/>
    <n v="81623.5"/>
    <n v="26406"/>
    <n v="281"/>
    <n v="20"/>
    <n v="72300"/>
  </r>
  <r>
    <n v="203"/>
    <x v="18"/>
    <x v="4"/>
    <s v="influencer"/>
    <n v="10934"/>
    <n v="3801165"/>
    <n v="880357"/>
    <n v="49510"/>
    <n v="1666"/>
    <n v="369"/>
    <n v="2812520"/>
  </r>
  <r>
    <n v="204"/>
    <x v="18"/>
    <x v="5"/>
    <s v="social"/>
    <n v="9034945"/>
    <n v="6168252"/>
    <n v="300775"/>
    <n v="29699"/>
    <n v="1082"/>
    <n v="96"/>
    <n v="574176"/>
  </r>
  <r>
    <n v="205"/>
    <x v="18"/>
    <x v="6"/>
    <s v="social"/>
    <n v="983498"/>
    <n v="11222000"/>
    <n v="9908.98"/>
    <n v="56110"/>
    <n v="185"/>
    <n v="3"/>
    <n v="3621"/>
  </r>
  <r>
    <n v="206"/>
    <x v="18"/>
    <x v="7"/>
    <s v="social"/>
    <n v="4387490"/>
    <n v="115166"/>
    <n v="3173.41"/>
    <n v="3297"/>
    <n v="7"/>
    <n v="1"/>
    <n v="5199"/>
  </r>
  <r>
    <n v="207"/>
    <x v="18"/>
    <x v="8"/>
    <s v="social"/>
    <n v="544756"/>
    <n v="1320200"/>
    <n v="440355"/>
    <n v="13202"/>
    <n v="264"/>
    <n v="45"/>
    <n v="80325"/>
  </r>
  <r>
    <n v="208"/>
    <x v="18"/>
    <x v="9"/>
    <s v="influencer"/>
    <n v="374754"/>
    <n v="3299900"/>
    <n v="404285"/>
    <n v="32999"/>
    <n v="694"/>
    <n v="104"/>
    <n v="519272"/>
  </r>
  <r>
    <n v="209"/>
    <x v="18"/>
    <x v="10"/>
    <s v="media"/>
    <n v="39889"/>
    <n v="19065489"/>
    <n v="492126"/>
    <n v="46209"/>
    <n v="924"/>
    <n v="139"/>
    <n v="556417"/>
  </r>
  <r>
    <n v="210"/>
    <x v="19"/>
    <x v="0"/>
    <s v="social"/>
    <n v="349043"/>
    <n v="9916906"/>
    <n v="56874.2"/>
    <n v="28796"/>
    <n v="88"/>
    <n v="12"/>
    <n v="59772"/>
  </r>
  <r>
    <n v="211"/>
    <x v="19"/>
    <x v="1"/>
    <s v="social"/>
    <n v="348934"/>
    <n v="7918600"/>
    <n v="455831"/>
    <n v="39593"/>
    <n v="853"/>
    <n v="68"/>
    <n v="387124"/>
  </r>
  <r>
    <n v="212"/>
    <x v="19"/>
    <x v="2"/>
    <s v="search"/>
    <n v="89459845"/>
    <n v="540450"/>
    <n v="190469"/>
    <n v="10809"/>
    <n v="359"/>
    <n v="47"/>
    <n v="365378"/>
  </r>
  <r>
    <n v="213"/>
    <x v="19"/>
    <x v="3"/>
    <s v="search"/>
    <n v="127823"/>
    <n v="5762000"/>
    <n v="435770"/>
    <n v="28810"/>
    <n v="732"/>
    <n v="96"/>
    <n v="253440"/>
  </r>
  <r>
    <n v="214"/>
    <x v="19"/>
    <x v="4"/>
    <s v="influencer"/>
    <n v="10934"/>
    <n v="5399300"/>
    <n v="303860"/>
    <n v="53993"/>
    <n v="1094"/>
    <n v="182"/>
    <n v="1452540"/>
  </r>
  <r>
    <n v="215"/>
    <x v="19"/>
    <x v="5"/>
    <s v="social"/>
    <n v="9034945"/>
    <n v="7669421"/>
    <n v="404737"/>
    <n v="32395"/>
    <n v="1003"/>
    <n v="139"/>
    <n v="847066"/>
  </r>
  <r>
    <n v="216"/>
    <x v="19"/>
    <x v="6"/>
    <s v="social"/>
    <n v="983498"/>
    <n v="12239000"/>
    <n v="150065"/>
    <n v="61195"/>
    <n v="1224"/>
    <n v="48"/>
    <n v="73392"/>
  </r>
  <r>
    <n v="217"/>
    <x v="19"/>
    <x v="7"/>
    <s v="social"/>
    <n v="4387490"/>
    <n v="111784"/>
    <n v="73587.5"/>
    <n v="3594"/>
    <n v="116"/>
    <n v="24"/>
    <n v="119544"/>
  </r>
  <r>
    <n v="218"/>
    <x v="19"/>
    <x v="8"/>
    <s v="social"/>
    <n v="544756"/>
    <n v="1118531"/>
    <n v="173041"/>
    <n v="14399"/>
    <n v="113"/>
    <n v="18"/>
    <n v="17658"/>
  </r>
  <r>
    <n v="219"/>
    <x v="19"/>
    <x v="9"/>
    <s v="influencer"/>
    <n v="374754"/>
    <n v="5497354"/>
    <n v="504576"/>
    <n v="35994"/>
    <n v="822"/>
    <n v="137"/>
    <n v="682397"/>
  </r>
  <r>
    <n v="220"/>
    <x v="19"/>
    <x v="10"/>
    <s v="media"/>
    <n v="39889"/>
    <n v="26012342"/>
    <n v="750361"/>
    <n v="50408"/>
    <n v="1678"/>
    <n v="252"/>
    <n v="1003210"/>
  </r>
  <r>
    <n v="221"/>
    <x v="20"/>
    <x v="0"/>
    <s v="social"/>
    <n v="349043"/>
    <n v="478600"/>
    <n v="38596.699999999997"/>
    <n v="2393"/>
    <n v="66"/>
    <n v="7"/>
    <n v="31094"/>
  </r>
  <r>
    <n v="222"/>
    <x v="20"/>
    <x v="1"/>
    <s v="social"/>
    <n v="348934"/>
    <n v="543787"/>
    <n v="39481"/>
    <n v="3299"/>
    <n v="113"/>
    <n v="6"/>
    <n v="29538"/>
  </r>
  <r>
    <n v="223"/>
    <x v="20"/>
    <x v="2"/>
    <s v="search"/>
    <n v="89459845"/>
    <n v="49655"/>
    <n v="9444.1200000000008"/>
    <n v="907"/>
    <n v="18"/>
    <n v="2"/>
    <n v="15962"/>
  </r>
  <r>
    <n v="224"/>
    <x v="20"/>
    <x v="3"/>
    <s v="search"/>
    <n v="127823"/>
    <n v="478400"/>
    <n v="17476.2"/>
    <n v="2392"/>
    <n v="48"/>
    <n v="5"/>
    <n v="12910"/>
  </r>
  <r>
    <n v="225"/>
    <x v="20"/>
    <x v="4"/>
    <s v="influencer"/>
    <n v="10934"/>
    <n v="713896"/>
    <n v="30801"/>
    <n v="4507"/>
    <n v="90"/>
    <n v="20"/>
    <n v="159620"/>
  </r>
  <r>
    <n v="226"/>
    <x v="20"/>
    <x v="5"/>
    <s v="social"/>
    <n v="9034945"/>
    <n v="555915"/>
    <n v="29457.5"/>
    <n v="2709"/>
    <n v="60"/>
    <n v="10"/>
    <n v="55540"/>
  </r>
  <r>
    <n v="227"/>
    <x v="20"/>
    <x v="6"/>
    <s v="social"/>
    <n v="983498"/>
    <n v="781353"/>
    <n v="12503.5"/>
    <n v="5104"/>
    <n v="102"/>
    <n v="4"/>
    <n v="7924"/>
  </r>
  <r>
    <n v="228"/>
    <x v="20"/>
    <x v="7"/>
    <s v="social"/>
    <n v="4387490"/>
    <n v="10812"/>
    <n v="1555.96"/>
    <n v="296"/>
    <n v="3"/>
    <n v="1"/>
    <n v="3993"/>
  </r>
  <r>
    <n v="229"/>
    <x v="20"/>
    <x v="8"/>
    <s v="social"/>
    <n v="544756"/>
    <n v="119400"/>
    <n v="32169.9"/>
    <n v="1194"/>
    <n v="24"/>
    <n v="4"/>
    <n v="3924"/>
  </r>
  <r>
    <n v="230"/>
    <x v="20"/>
    <x v="9"/>
    <s v="influencer"/>
    <n v="374754"/>
    <n v="300900"/>
    <n v="65006.3"/>
    <n v="3009"/>
    <n v="89"/>
    <n v="17"/>
    <n v="84677"/>
  </r>
  <r>
    <n v="231"/>
    <x v="20"/>
    <x v="10"/>
    <s v="media"/>
    <n v="39889"/>
    <n v="42080000"/>
    <n v="25023.200000000001"/>
    <n v="4208"/>
    <n v="67"/>
    <n v="10"/>
    <n v="31710"/>
  </r>
  <r>
    <n v="232"/>
    <x v="21"/>
    <x v="0"/>
    <s v="social"/>
    <n v="349043"/>
    <n v="605386"/>
    <n v="59710"/>
    <n v="4802"/>
    <n v="96"/>
    <n v="12"/>
    <n v="67632"/>
  </r>
  <r>
    <n v="233"/>
    <x v="21"/>
    <x v="1"/>
    <s v="social"/>
    <n v="348934"/>
    <n v="2090371"/>
    <n v="95536.2"/>
    <n v="6606"/>
    <n v="132"/>
    <n v="14"/>
    <n v="69734"/>
  </r>
  <r>
    <n v="234"/>
    <x v="21"/>
    <x v="2"/>
    <s v="search"/>
    <n v="89459845"/>
    <n v="90500"/>
    <n v="30645.4"/>
    <n v="1810"/>
    <n v="65"/>
    <n v="7"/>
    <n v="59045"/>
  </r>
  <r>
    <n v="235"/>
    <x v="21"/>
    <x v="3"/>
    <s v="search"/>
    <n v="127823"/>
    <n v="959600"/>
    <n v="12348.3"/>
    <n v="4798"/>
    <n v="39"/>
    <n v="4"/>
    <n v="11924"/>
  </r>
  <r>
    <n v="236"/>
    <x v="21"/>
    <x v="4"/>
    <s v="influencer"/>
    <n v="10934"/>
    <n v="757387"/>
    <n v="77803.8"/>
    <n v="8997"/>
    <n v="180"/>
    <n v="42"/>
    <n v="359394"/>
  </r>
  <r>
    <n v="237"/>
    <x v="21"/>
    <x v="5"/>
    <s v="social"/>
    <n v="9034945"/>
    <n v="4565811"/>
    <n v="33474.699999999997"/>
    <n v="5397"/>
    <n v="108"/>
    <n v="9"/>
    <n v="53829"/>
  </r>
  <r>
    <n v="238"/>
    <x v="21"/>
    <x v="6"/>
    <s v="social"/>
    <n v="983498"/>
    <n v="2190892"/>
    <n v="19196.599999999999"/>
    <n v="10202"/>
    <n v="124"/>
    <n v="7"/>
    <n v="14602"/>
  </r>
  <r>
    <n v="239"/>
    <x v="21"/>
    <x v="7"/>
    <s v="social"/>
    <n v="4387490"/>
    <n v="17821"/>
    <n v="5792.48"/>
    <n v="598"/>
    <n v="12"/>
    <n v="3"/>
    <n v="12168"/>
  </r>
  <r>
    <n v="240"/>
    <x v="21"/>
    <x v="8"/>
    <s v="social"/>
    <n v="544756"/>
    <n v="239600"/>
    <n v="51783.3"/>
    <n v="2396"/>
    <n v="48"/>
    <n v="6"/>
    <n v="5886"/>
  </r>
  <r>
    <n v="241"/>
    <x v="21"/>
    <x v="9"/>
    <s v="influencer"/>
    <n v="374754"/>
    <n v="599700"/>
    <n v="137382"/>
    <n v="5997"/>
    <n v="236"/>
    <n v="35"/>
    <n v="158340"/>
  </r>
  <r>
    <n v="242"/>
    <x v="21"/>
    <x v="10"/>
    <s v="media"/>
    <n v="39889"/>
    <n v="105873774"/>
    <n v="60021.599999999999"/>
    <n v="8409"/>
    <n v="168"/>
    <n v="20"/>
    <n v="80600"/>
  </r>
  <r>
    <n v="243"/>
    <x v="22"/>
    <x v="0"/>
    <s v="social"/>
    <n v="349043"/>
    <n v="924525"/>
    <n v="9858.2800000000007"/>
    <n v="1203"/>
    <n v="28"/>
    <n v="2"/>
    <n v="9962"/>
  </r>
  <r>
    <n v="244"/>
    <x v="22"/>
    <x v="1"/>
    <s v="social"/>
    <n v="348934"/>
    <n v="475992"/>
    <n v="19350"/>
    <n v="1641"/>
    <n v="37"/>
    <n v="3"/>
    <n v="12225"/>
  </r>
  <r>
    <n v="245"/>
    <x v="22"/>
    <x v="2"/>
    <s v="search"/>
    <n v="89459845"/>
    <n v="22175"/>
    <n v="5409.21"/>
    <n v="442"/>
    <n v="9"/>
    <n v="2"/>
    <n v="15050"/>
  </r>
  <r>
    <n v="246"/>
    <x v="22"/>
    <x v="3"/>
    <s v="search"/>
    <n v="127823"/>
    <n v="241000"/>
    <n v="12581.6"/>
    <n v="1205"/>
    <n v="24"/>
    <n v="3"/>
    <n v="8943"/>
  </r>
  <r>
    <n v="247"/>
    <x v="22"/>
    <x v="4"/>
    <s v="influencer"/>
    <n v="10934"/>
    <n v="297609"/>
    <n v="16343"/>
    <n v="2246"/>
    <n v="45"/>
    <n v="8"/>
    <n v="63848"/>
  </r>
  <r>
    <n v="248"/>
    <x v="22"/>
    <x v="5"/>
    <s v="social"/>
    <n v="9034945"/>
    <n v="536236"/>
    <n v="557.25"/>
    <n v="1349"/>
    <n v="1"/>
    <n v="0"/>
    <n v="0"/>
  </r>
  <r>
    <n v="249"/>
    <x v="22"/>
    <x v="6"/>
    <s v="social"/>
    <n v="983498"/>
    <n v="512000"/>
    <n v="4285.4399999999996"/>
    <n v="2560"/>
    <n v="51"/>
    <n v="2"/>
    <n v="2934"/>
  </r>
  <r>
    <n v="250"/>
    <x v="22"/>
    <x v="7"/>
    <s v="social"/>
    <n v="4387490"/>
    <n v="4908"/>
    <n v="1238.0899999999999"/>
    <n v="155"/>
    <n v="3"/>
    <n v="1"/>
    <n v="5265"/>
  </r>
  <r>
    <n v="251"/>
    <x v="22"/>
    <x v="8"/>
    <s v="social"/>
    <n v="544756"/>
    <n v="60800"/>
    <n v="16078.6"/>
    <n v="608"/>
    <n v="12"/>
    <n v="2"/>
    <n v="2720"/>
  </r>
  <r>
    <n v="252"/>
    <x v="22"/>
    <x v="9"/>
    <s v="influencer"/>
    <n v="374754"/>
    <n v="117218"/>
    <n v="15435"/>
    <n v="1500"/>
    <n v="31"/>
    <n v="4"/>
    <n v="17816"/>
  </r>
  <r>
    <n v="253"/>
    <x v="22"/>
    <x v="10"/>
    <s v="media"/>
    <n v="39889"/>
    <n v="654544"/>
    <n v="16706.400000000001"/>
    <n v="2099"/>
    <n v="42"/>
    <n v="6"/>
    <n v="23886"/>
  </r>
  <r>
    <n v="254"/>
    <x v="23"/>
    <x v="0"/>
    <s v="social"/>
    <n v="349043"/>
    <n v="479596"/>
    <n v="94564.2"/>
    <n v="2408"/>
    <n v="93"/>
    <n v="15"/>
    <n v="81825"/>
  </r>
  <r>
    <n v="255"/>
    <x v="23"/>
    <x v="1"/>
    <s v="social"/>
    <n v="348934"/>
    <n v="395127"/>
    <n v="44347.199999999997"/>
    <n v="3297"/>
    <n v="66"/>
    <n v="7"/>
    <n v="34867"/>
  </r>
  <r>
    <n v="256"/>
    <x v="23"/>
    <x v="2"/>
    <s v="search"/>
    <n v="89459845"/>
    <n v="45150"/>
    <n v="14306.2"/>
    <n v="903"/>
    <n v="18"/>
    <n v="3"/>
    <n v="23943"/>
  </r>
  <r>
    <n v="257"/>
    <x v="23"/>
    <x v="3"/>
    <s v="search"/>
    <n v="127823"/>
    <n v="291441"/>
    <n v="22357.599999999999"/>
    <n v="2408"/>
    <n v="52"/>
    <n v="5"/>
    <n v="19060"/>
  </r>
  <r>
    <n v="258"/>
    <x v="23"/>
    <x v="4"/>
    <s v="influencer"/>
    <n v="10934"/>
    <n v="409320"/>
    <n v="22944.3"/>
    <n v="4508"/>
    <n v="65"/>
    <n v="14"/>
    <n v="111734"/>
  </r>
  <r>
    <n v="259"/>
    <x v="23"/>
    <x v="5"/>
    <s v="social"/>
    <n v="9034945"/>
    <n v="869482"/>
    <n v="23908.400000000001"/>
    <n v="2703"/>
    <n v="42"/>
    <n v="7"/>
    <n v="36456"/>
  </r>
  <r>
    <n v="260"/>
    <x v="23"/>
    <x v="6"/>
    <s v="social"/>
    <n v="983498"/>
    <n v="624157"/>
    <n v="18675"/>
    <n v="5098"/>
    <n v="122"/>
    <n v="6"/>
    <n v="10590"/>
  </r>
  <r>
    <n v="261"/>
    <x v="23"/>
    <x v="7"/>
    <s v="social"/>
    <n v="4387490"/>
    <n v="8966"/>
    <n v="2857.1"/>
    <n v="297"/>
    <n v="6"/>
    <n v="1"/>
    <n v="4981"/>
  </r>
  <r>
    <n v="262"/>
    <x v="23"/>
    <x v="8"/>
    <s v="social"/>
    <n v="544756"/>
    <n v="148794"/>
    <n v="48796.6"/>
    <n v="1196"/>
    <n v="38"/>
    <n v="6"/>
    <n v="8178"/>
  </r>
  <r>
    <n v="263"/>
    <x v="23"/>
    <x v="9"/>
    <s v="influencer"/>
    <n v="374754"/>
    <n v="355802"/>
    <n v="42311.5"/>
    <n v="2990"/>
    <n v="60"/>
    <n v="9"/>
    <n v="44829"/>
  </r>
  <r>
    <n v="264"/>
    <x v="23"/>
    <x v="10"/>
    <s v="media"/>
    <n v="39889"/>
    <n v="2770687"/>
    <n v="34169.9"/>
    <n v="4205"/>
    <n v="84"/>
    <n v="16"/>
    <n v="63696"/>
  </r>
  <r>
    <n v="265"/>
    <x v="24"/>
    <x v="0"/>
    <s v="social"/>
    <n v="349043"/>
    <n v="94600"/>
    <n v="11230.2"/>
    <n v="473"/>
    <n v="15"/>
    <n v="2"/>
    <n v="10104"/>
  </r>
  <r>
    <n v="266"/>
    <x v="24"/>
    <x v="1"/>
    <s v="social"/>
    <n v="348934"/>
    <n v="131400"/>
    <n v="10357"/>
    <n v="657"/>
    <n v="13"/>
    <n v="2"/>
    <n v="9962"/>
  </r>
  <r>
    <n v="267"/>
    <x v="24"/>
    <x v="2"/>
    <s v="search"/>
    <n v="89459845"/>
    <n v="8750"/>
    <n v="1078.73"/>
    <n v="175"/>
    <n v="1"/>
    <n v="0"/>
    <n v="0"/>
  </r>
  <r>
    <n v="268"/>
    <x v="24"/>
    <x v="3"/>
    <s v="search"/>
    <n v="127823"/>
    <n v="61867"/>
    <n v="9472.2199999999993"/>
    <n v="487"/>
    <n v="19"/>
    <n v="2"/>
    <n v="5730"/>
  </r>
  <r>
    <n v="269"/>
    <x v="24"/>
    <x v="4"/>
    <s v="influencer"/>
    <n v="10934"/>
    <n v="94976"/>
    <n v="9034.91"/>
    <n v="904"/>
    <n v="22"/>
    <n v="5"/>
    <n v="38030"/>
  </r>
  <r>
    <n v="270"/>
    <x v="24"/>
    <x v="5"/>
    <s v="social"/>
    <n v="9034945"/>
    <n v="106000"/>
    <n v="2304.0100000000002"/>
    <n v="530"/>
    <n v="6"/>
    <n v="1"/>
    <n v="5981"/>
  </r>
  <r>
    <n v="271"/>
    <x v="24"/>
    <x v="6"/>
    <s v="social"/>
    <n v="983498"/>
    <n v="115468"/>
    <n v="2059.0300000000002"/>
    <n v="1015"/>
    <n v="20"/>
    <n v="1"/>
    <n v="1981"/>
  </r>
  <r>
    <n v="272"/>
    <x v="24"/>
    <x v="7"/>
    <s v="social"/>
    <n v="4387490"/>
    <n v="2214"/>
    <n v="1487.47"/>
    <n v="66"/>
    <n v="3"/>
    <n v="1"/>
    <n v="4461"/>
  </r>
  <r>
    <n v="273"/>
    <x v="24"/>
    <x v="8"/>
    <s v="social"/>
    <n v="544756"/>
    <n v="25000"/>
    <n v="5871.29"/>
    <n v="250"/>
    <n v="5"/>
    <n v="1"/>
    <n v="981"/>
  </r>
  <r>
    <n v="274"/>
    <x v="24"/>
    <x v="9"/>
    <s v="influencer"/>
    <n v="374754"/>
    <n v="46753"/>
    <n v="6227.53"/>
    <n v="591"/>
    <n v="12"/>
    <n v="2"/>
    <n v="10130"/>
  </r>
  <r>
    <n v="275"/>
    <x v="24"/>
    <x v="10"/>
    <s v="media"/>
    <n v="39889"/>
    <n v="2885291"/>
    <n v="7583.66"/>
    <n v="848"/>
    <n v="17"/>
    <n v="3"/>
    <n v="11943"/>
  </r>
  <r>
    <n v="276"/>
    <x v="25"/>
    <x v="0"/>
    <s v="social"/>
    <n v="349043"/>
    <n v="168408"/>
    <n v="19887.7"/>
    <n v="1207"/>
    <n v="39"/>
    <n v="4"/>
    <n v="22488"/>
  </r>
  <r>
    <n v="277"/>
    <x v="25"/>
    <x v="1"/>
    <s v="social"/>
    <n v="348934"/>
    <n v="438858"/>
    <n v="17935.400000000001"/>
    <n v="1657"/>
    <n v="33"/>
    <n v="3"/>
    <n v="15345"/>
  </r>
  <r>
    <n v="278"/>
    <x v="25"/>
    <x v="2"/>
    <s v="search"/>
    <n v="89459845"/>
    <n v="22450"/>
    <n v="1545.74"/>
    <n v="449"/>
    <n v="2"/>
    <n v="0"/>
    <n v="0"/>
  </r>
  <r>
    <n v="279"/>
    <x v="25"/>
    <x v="3"/>
    <s v="search"/>
    <n v="127823"/>
    <n v="240600"/>
    <n v="4453.1000000000004"/>
    <n v="1203"/>
    <n v="11"/>
    <n v="1"/>
    <n v="2283"/>
  </r>
  <r>
    <n v="280"/>
    <x v="25"/>
    <x v="4"/>
    <s v="influencer"/>
    <n v="10934"/>
    <n v="195016"/>
    <n v="38804.199999999997"/>
    <n v="2247"/>
    <n v="82"/>
    <n v="16"/>
    <n v="127696"/>
  </r>
  <r>
    <n v="281"/>
    <x v="25"/>
    <x v="5"/>
    <s v="social"/>
    <n v="9034945"/>
    <n v="174375"/>
    <n v="12592.4"/>
    <n v="1342"/>
    <n v="27"/>
    <n v="4"/>
    <n v="26556"/>
  </r>
  <r>
    <n v="282"/>
    <x v="25"/>
    <x v="6"/>
    <s v="social"/>
    <n v="983498"/>
    <n v="508600"/>
    <n v="2403.54"/>
    <n v="2543"/>
    <n v="73"/>
    <n v="1"/>
    <n v="1981"/>
  </r>
  <r>
    <n v="283"/>
    <x v="25"/>
    <x v="7"/>
    <s v="social"/>
    <n v="4387490"/>
    <n v="4906"/>
    <n v="1071.1600000000001"/>
    <n v="143"/>
    <n v="3"/>
    <n v="1"/>
    <n v="4981"/>
  </r>
  <r>
    <n v="284"/>
    <x v="25"/>
    <x v="8"/>
    <s v="social"/>
    <n v="544756"/>
    <n v="55269"/>
    <n v="315.92"/>
    <n v="610"/>
    <n v="0"/>
    <n v="0"/>
    <n v="0"/>
  </r>
  <r>
    <n v="285"/>
    <x v="25"/>
    <x v="9"/>
    <s v="influencer"/>
    <n v="374754"/>
    <n v="192489"/>
    <n v="15596"/>
    <n v="1497"/>
    <n v="34"/>
    <n v="5"/>
    <n v="25205"/>
  </r>
  <r>
    <n v="286"/>
    <x v="25"/>
    <x v="10"/>
    <s v="media"/>
    <n v="39889"/>
    <n v="20930000"/>
    <n v="8087.73"/>
    <n v="2093"/>
    <n v="22"/>
    <n v="3"/>
    <n v="12213"/>
  </r>
  <r>
    <n v="287"/>
    <x v="26"/>
    <x v="0"/>
    <s v="social"/>
    <n v="349043"/>
    <n v="213771"/>
    <n v="5003.33"/>
    <n v="241"/>
    <n v="9"/>
    <n v="1"/>
    <n v="4223"/>
  </r>
  <r>
    <n v="288"/>
    <x v="26"/>
    <x v="1"/>
    <s v="social"/>
    <n v="348934"/>
    <n v="66400"/>
    <n v="3235.77"/>
    <n v="332"/>
    <n v="13"/>
    <n v="0"/>
    <n v="0"/>
  </r>
  <r>
    <n v="289"/>
    <x v="26"/>
    <x v="2"/>
    <s v="search"/>
    <n v="89459845"/>
    <n v="4662"/>
    <n v="1754.25"/>
    <n v="83"/>
    <n v="2"/>
    <n v="0"/>
    <n v="0"/>
  </r>
  <r>
    <n v="290"/>
    <x v="26"/>
    <x v="3"/>
    <s v="search"/>
    <n v="127823"/>
    <n v="40004"/>
    <n v="1487.24"/>
    <n v="243"/>
    <n v="5"/>
    <n v="0"/>
    <n v="0"/>
  </r>
  <r>
    <n v="291"/>
    <x v="26"/>
    <x v="4"/>
    <s v="influencer"/>
    <n v="10934"/>
    <n v="44000"/>
    <n v="5721.83"/>
    <n v="440"/>
    <n v="15"/>
    <n v="3"/>
    <n v="23943"/>
  </r>
  <r>
    <n v="292"/>
    <x v="26"/>
    <x v="5"/>
    <s v="social"/>
    <n v="9034945"/>
    <n v="44112"/>
    <n v="1832.16"/>
    <n v="275"/>
    <n v="6"/>
    <n v="1"/>
    <n v="5981"/>
  </r>
  <r>
    <n v="293"/>
    <x v="26"/>
    <x v="6"/>
    <s v="social"/>
    <n v="983498"/>
    <n v="78799"/>
    <n v="254.14"/>
    <n v="503"/>
    <n v="3"/>
    <n v="0"/>
    <n v="0"/>
  </r>
  <r>
    <n v="294"/>
    <x v="26"/>
    <x v="7"/>
    <s v="social"/>
    <n v="4387490"/>
    <n v="667"/>
    <n v="200.42"/>
    <n v="20"/>
    <n v="0"/>
    <n v="0"/>
    <n v="0"/>
  </r>
  <r>
    <n v="295"/>
    <x v="26"/>
    <x v="8"/>
    <s v="social"/>
    <n v="544756"/>
    <n v="13693"/>
    <n v="3098.45"/>
    <n v="115"/>
    <n v="2"/>
    <n v="0"/>
    <n v="0"/>
  </r>
  <r>
    <n v="296"/>
    <x v="26"/>
    <x v="9"/>
    <s v="influencer"/>
    <n v="374754"/>
    <n v="24018"/>
    <n v="3524.08"/>
    <n v="298"/>
    <n v="6"/>
    <n v="1"/>
    <n v="4661"/>
  </r>
  <r>
    <n v="297"/>
    <x v="26"/>
    <x v="10"/>
    <s v="media"/>
    <n v="39889"/>
    <n v="182546"/>
    <n v="2791.06"/>
    <n v="426"/>
    <n v="9"/>
    <n v="1"/>
    <n v="3981"/>
  </r>
  <r>
    <n v="298"/>
    <x v="27"/>
    <x v="0"/>
    <s v="social"/>
    <n v="349043"/>
    <n v="97200"/>
    <n v="6440.5"/>
    <n v="486"/>
    <n v="11"/>
    <n v="1"/>
    <n v="4981"/>
  </r>
  <r>
    <n v="299"/>
    <x v="27"/>
    <x v="1"/>
    <s v="social"/>
    <n v="348934"/>
    <n v="132200"/>
    <n v="8665.5499999999993"/>
    <n v="661"/>
    <n v="13"/>
    <n v="1"/>
    <n v="5509"/>
  </r>
  <r>
    <n v="300"/>
    <x v="27"/>
    <x v="2"/>
    <s v="search"/>
    <n v="89459845"/>
    <n v="11554"/>
    <n v="3529.73"/>
    <n v="187"/>
    <n v="5"/>
    <n v="1"/>
    <n v="8714"/>
  </r>
  <r>
    <n v="301"/>
    <x v="27"/>
    <x v="3"/>
    <s v="search"/>
    <n v="127823"/>
    <n v="55625"/>
    <n v="384.75"/>
    <n v="487"/>
    <n v="1"/>
    <n v="0"/>
    <n v="0"/>
  </r>
  <r>
    <n v="302"/>
    <x v="27"/>
    <x v="4"/>
    <s v="influencer"/>
    <n v="10934"/>
    <n v="129025"/>
    <n v="9892.77"/>
    <n v="909"/>
    <n v="21"/>
    <n v="5"/>
    <n v="37450"/>
  </r>
  <r>
    <n v="303"/>
    <x v="27"/>
    <x v="5"/>
    <s v="social"/>
    <n v="9034945"/>
    <n v="63566"/>
    <n v="4950.74"/>
    <n v="546"/>
    <n v="12"/>
    <n v="1"/>
    <n v="5981"/>
  </r>
  <r>
    <n v="304"/>
    <x v="27"/>
    <x v="6"/>
    <s v="social"/>
    <n v="983498"/>
    <n v="775780"/>
    <n v="760.75"/>
    <n v="1024"/>
    <n v="4"/>
    <n v="0"/>
    <n v="0"/>
  </r>
  <r>
    <n v="305"/>
    <x v="27"/>
    <x v="7"/>
    <s v="social"/>
    <n v="4387490"/>
    <n v="1933"/>
    <n v="224.81"/>
    <n v="58"/>
    <n v="0"/>
    <n v="0"/>
    <n v="0"/>
  </r>
  <r>
    <n v="306"/>
    <x v="27"/>
    <x v="8"/>
    <s v="social"/>
    <n v="544756"/>
    <n v="25840"/>
    <n v="6844.8"/>
    <n v="248"/>
    <n v="5"/>
    <n v="1"/>
    <n v="1491"/>
  </r>
  <r>
    <n v="307"/>
    <x v="27"/>
    <x v="9"/>
    <s v="influencer"/>
    <n v="374754"/>
    <n v="94058"/>
    <n v="4845.6499999999996"/>
    <n v="594"/>
    <n v="12"/>
    <n v="1"/>
    <n v="5008"/>
  </r>
  <r>
    <n v="308"/>
    <x v="27"/>
    <x v="10"/>
    <s v="media"/>
    <n v="39889"/>
    <n v="8490000"/>
    <n v="6822.62"/>
    <n v="849"/>
    <n v="18"/>
    <n v="2"/>
    <n v="703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8">
  <r>
    <n v="242"/>
    <s v="2021-02-22"/>
    <x v="0"/>
    <s v="banner_partner"/>
    <x v="0"/>
    <x v="0"/>
    <n v="39889"/>
    <n v="105873774"/>
    <n v="60021.599999999999"/>
    <n v="7.9424768592833953E-5"/>
    <n v="8409"/>
    <b v="0"/>
    <n v="168"/>
    <b v="0"/>
    <n v="20"/>
    <b v="1"/>
    <n v="80600"/>
    <n v="0"/>
    <n v="0"/>
    <n v="0"/>
    <n v="0"/>
    <m/>
  </r>
  <r>
    <n v="11"/>
    <s v="2021-02-01"/>
    <x v="1"/>
    <s v="banner_partner"/>
    <x v="0"/>
    <x v="0"/>
    <n v="39889"/>
    <n v="20900000"/>
    <n v="931.99"/>
    <n v="1E-4"/>
    <n v="2090"/>
    <b v="0"/>
    <n v="3"/>
    <b v="0"/>
    <n v="0"/>
    <b v="0"/>
    <n v="0"/>
    <n v="0"/>
    <n v="0"/>
    <n v="0"/>
    <n v="0"/>
    <m/>
  </r>
  <r>
    <n v="22"/>
    <s v="2021-02-02"/>
    <x v="2"/>
    <s v="banner_partner"/>
    <x v="0"/>
    <x v="0"/>
    <n v="39889"/>
    <n v="42000000"/>
    <n v="46159.8"/>
    <n v="1E-4"/>
    <n v="4200"/>
    <b v="0"/>
    <n v="92"/>
    <b v="0"/>
    <n v="13"/>
    <b v="0"/>
    <n v="51753"/>
    <n v="0"/>
    <n v="0"/>
    <n v="0"/>
    <n v="0"/>
    <m/>
  </r>
  <r>
    <n v="33"/>
    <s v="2021-02-03"/>
    <x v="3"/>
    <s v="banner_partner"/>
    <x v="0"/>
    <x v="0"/>
    <n v="39889"/>
    <n v="125910000"/>
    <n v="29378.3"/>
    <n v="1E-4"/>
    <n v="12591"/>
    <b v="0"/>
    <n v="68"/>
    <b v="0"/>
    <n v="13"/>
    <b v="0"/>
    <n v="51753"/>
    <n v="0"/>
    <n v="0"/>
    <n v="0"/>
    <n v="0"/>
    <m/>
  </r>
  <r>
    <n v="66"/>
    <s v="2021-02-06"/>
    <x v="4"/>
    <s v="banner_partner"/>
    <x v="0"/>
    <x v="0"/>
    <n v="39889"/>
    <n v="42070000"/>
    <n v="38185.199999999997"/>
    <n v="1E-4"/>
    <n v="4207"/>
    <b v="0"/>
    <n v="84"/>
    <b v="0"/>
    <n v="10"/>
    <b v="0"/>
    <n v="48820"/>
    <n v="0"/>
    <n v="0"/>
    <n v="0"/>
    <n v="0"/>
    <m/>
  </r>
  <r>
    <n v="198"/>
    <s v="2021-02-18"/>
    <x v="5"/>
    <s v="banner_partner"/>
    <x v="0"/>
    <x v="0"/>
    <n v="39889"/>
    <n v="419970000"/>
    <n v="339735"/>
    <n v="1E-4"/>
    <n v="41997"/>
    <b v="0"/>
    <n v="840"/>
    <b v="0"/>
    <n v="114"/>
    <b v="0"/>
    <n v="516420"/>
    <n v="0"/>
    <n v="0"/>
    <n v="0"/>
    <n v="0"/>
    <m/>
  </r>
  <r>
    <n v="231"/>
    <s v="2021-02-21"/>
    <x v="6"/>
    <s v="banner_partner"/>
    <x v="0"/>
    <x v="0"/>
    <n v="39889"/>
    <n v="42080000"/>
    <n v="25023.200000000001"/>
    <n v="1E-4"/>
    <n v="4208"/>
    <b v="0"/>
    <n v="67"/>
    <b v="0"/>
    <n v="10"/>
    <b v="0"/>
    <n v="31710"/>
    <n v="0"/>
    <n v="0"/>
    <n v="0"/>
    <n v="0"/>
    <m/>
  </r>
  <r>
    <n v="286"/>
    <s v="2021-02-26"/>
    <x v="7"/>
    <s v="banner_partner"/>
    <x v="0"/>
    <x v="0"/>
    <n v="39889"/>
    <n v="20930000"/>
    <n v="8087.73"/>
    <n v="1E-4"/>
    <n v="2093"/>
    <b v="0"/>
    <n v="22"/>
    <b v="0"/>
    <n v="3"/>
    <b v="0"/>
    <n v="12213"/>
    <n v="0"/>
    <n v="0"/>
    <n v="0"/>
    <n v="0"/>
    <m/>
  </r>
  <r>
    <n v="308"/>
    <s v="2021-02-28"/>
    <x v="8"/>
    <s v="banner_partner"/>
    <x v="0"/>
    <x v="0"/>
    <n v="39889"/>
    <n v="8490000"/>
    <n v="6822.62"/>
    <n v="1E-4"/>
    <n v="849"/>
    <b v="0"/>
    <n v="18"/>
    <b v="0"/>
    <n v="2"/>
    <b v="0"/>
    <n v="7030"/>
    <n v="0"/>
    <n v="0"/>
    <n v="0"/>
    <n v="0"/>
    <m/>
  </r>
  <r>
    <n v="275"/>
    <s v="2021-02-25"/>
    <x v="9"/>
    <s v="banner_partner"/>
    <x v="0"/>
    <x v="0"/>
    <n v="39889"/>
    <n v="2885291"/>
    <n v="7583.66"/>
    <n v="2.9390449698141365E-4"/>
    <n v="848"/>
    <b v="0"/>
    <n v="17"/>
    <b v="0"/>
    <n v="3"/>
    <b v="0"/>
    <n v="11943"/>
    <n v="0"/>
    <n v="0"/>
    <n v="0"/>
    <n v="0"/>
    <m/>
  </r>
  <r>
    <n v="44"/>
    <s v="2021-02-04"/>
    <x v="10"/>
    <s v="banner_partner"/>
    <x v="0"/>
    <x v="0"/>
    <n v="39889"/>
    <n v="41924802"/>
    <n v="177746"/>
    <n v="4.0086056935939731E-4"/>
    <n v="16806"/>
    <b v="0"/>
    <n v="336"/>
    <b v="0"/>
    <n v="60"/>
    <b v="0"/>
    <n v="204540"/>
    <n v="0"/>
    <n v="0"/>
    <n v="0"/>
    <n v="0"/>
    <m/>
  </r>
  <r>
    <n v="176"/>
    <s v="2021-02-16"/>
    <x v="11"/>
    <s v="banner_partner"/>
    <x v="0"/>
    <x v="0"/>
    <n v="39889"/>
    <n v="56876855"/>
    <n v="206424"/>
    <n v="5.9060930847881798E-4"/>
    <n v="33592"/>
    <b v="0"/>
    <n v="416"/>
    <b v="0"/>
    <n v="62"/>
    <b v="0"/>
    <n v="246822"/>
    <n v="0"/>
    <n v="0"/>
    <n v="0"/>
    <n v="0"/>
    <m/>
  </r>
  <r>
    <n v="77"/>
    <s v="2021-02-07"/>
    <x v="12"/>
    <s v="banner_partner"/>
    <x v="0"/>
    <x v="0"/>
    <n v="39889"/>
    <n v="3957603"/>
    <n v="79987.7"/>
    <n v="1.0620064720993996E-3"/>
    <n v="4203"/>
    <b v="0"/>
    <n v="142"/>
    <b v="0"/>
    <n v="27"/>
    <b v="0"/>
    <n v="90504"/>
    <n v="0"/>
    <n v="0"/>
    <n v="0"/>
    <n v="0"/>
    <m/>
  </r>
  <r>
    <n v="99"/>
    <s v="2021-02-09"/>
    <x v="13"/>
    <s v="banner_partner"/>
    <x v="0"/>
    <x v="0"/>
    <n v="39889"/>
    <n v="3736884"/>
    <n v="44731.7"/>
    <n v="1.121255034943552E-3"/>
    <n v="4190"/>
    <b v="0"/>
    <n v="84"/>
    <b v="0"/>
    <n v="13"/>
    <b v="0"/>
    <n v="51259"/>
    <n v="0"/>
    <n v="0"/>
    <n v="0"/>
    <n v="0"/>
    <m/>
  </r>
  <r>
    <n v="287"/>
    <s v="2021-02-27"/>
    <x v="14"/>
    <s v="facebook_tier1"/>
    <x v="1"/>
    <x v="1"/>
    <n v="349043"/>
    <n v="213771"/>
    <n v="5003.33"/>
    <n v="1.1273746205051199E-3"/>
    <n v="241"/>
    <b v="0"/>
    <n v="9"/>
    <b v="0"/>
    <n v="1"/>
    <b v="0"/>
    <n v="4223"/>
    <n v="0"/>
    <n v="0"/>
    <n v="0"/>
    <n v="0"/>
    <m/>
  </r>
  <r>
    <n v="143"/>
    <s v="2021-02-13"/>
    <x v="15"/>
    <s v="banner_partner"/>
    <x v="0"/>
    <x v="0"/>
    <n v="39889"/>
    <n v="17890507"/>
    <n v="390105"/>
    <n v="1.173415599680881E-3"/>
    <n v="20993"/>
    <b v="0"/>
    <n v="734"/>
    <b v="0"/>
    <n v="118"/>
    <b v="0"/>
    <n v="353174"/>
    <n v="0"/>
    <n v="0"/>
    <n v="0"/>
    <n v="0"/>
    <m/>
  </r>
  <r>
    <n v="237"/>
    <s v="2021-02-22"/>
    <x v="0"/>
    <s v="instagram_tier1"/>
    <x v="2"/>
    <x v="1"/>
    <n v="9034945"/>
    <n v="4565811"/>
    <n v="33474.699999999997"/>
    <n v="1.1820463002082215E-3"/>
    <n v="5397"/>
    <b v="0"/>
    <n v="108"/>
    <b v="0"/>
    <n v="9"/>
    <b v="0"/>
    <n v="53829"/>
    <n v="0"/>
    <n v="0"/>
    <n v="0"/>
    <n v="0"/>
    <m/>
  </r>
  <r>
    <n v="48"/>
    <s v="2021-02-05"/>
    <x v="16"/>
    <s v="google_wide"/>
    <x v="3"/>
    <x v="2"/>
    <n v="127823"/>
    <n v="9914040"/>
    <n v="56875.199999999997"/>
    <n v="1.2096985688982494E-3"/>
    <n v="11993"/>
    <b v="0"/>
    <n v="139"/>
    <b v="0"/>
    <n v="14"/>
    <b v="0"/>
    <n v="49644"/>
    <n v="0"/>
    <n v="0"/>
    <n v="0"/>
    <n v="0"/>
    <m/>
  </r>
  <r>
    <n v="243"/>
    <s v="2021-02-23"/>
    <x v="17"/>
    <s v="facebook_tier1"/>
    <x v="1"/>
    <x v="1"/>
    <n v="349043"/>
    <n v="924525"/>
    <n v="9858.2800000000007"/>
    <n v="1.3012087288066846E-3"/>
    <n v="1203"/>
    <b v="0"/>
    <n v="28"/>
    <b v="0"/>
    <n v="2"/>
    <b v="0"/>
    <n v="9962"/>
    <n v="0"/>
    <n v="0"/>
    <n v="0"/>
    <n v="0"/>
    <m/>
  </r>
  <r>
    <n v="304"/>
    <s v="2021-02-28"/>
    <x v="8"/>
    <s v="instagram_tier2"/>
    <x v="4"/>
    <x v="1"/>
    <n v="983498"/>
    <n v="775780"/>
    <n v="760.75"/>
    <n v="1.3199618448529221E-3"/>
    <n v="1024"/>
    <b v="0"/>
    <n v="4"/>
    <b v="0"/>
    <n v="0"/>
    <b v="0"/>
    <n v="0"/>
    <n v="0"/>
    <n v="0"/>
    <n v="0"/>
    <n v="0"/>
    <m/>
  </r>
  <r>
    <n v="183"/>
    <s v="2021-02-17"/>
    <x v="18"/>
    <s v="instagram_tier2"/>
    <x v="4"/>
    <x v="1"/>
    <n v="983498"/>
    <n v="32964848"/>
    <n v="162819"/>
    <n v="1.3926046314546938E-3"/>
    <n v="45907"/>
    <b v="0"/>
    <n v="974"/>
    <b v="0"/>
    <n v="46"/>
    <b v="0"/>
    <n v="121900"/>
    <n v="0"/>
    <n v="0"/>
    <n v="0"/>
    <n v="0"/>
    <m/>
  </r>
  <r>
    <n v="105"/>
    <s v="2021-02-10"/>
    <x v="19"/>
    <s v="instagram_tier1"/>
    <x v="2"/>
    <x v="1"/>
    <n v="9034945"/>
    <n v="3858193"/>
    <n v="38890.300000000003"/>
    <n v="1.4011740729403636E-3"/>
    <n v="5406"/>
    <b v="0"/>
    <n v="186"/>
    <b v="0"/>
    <n v="14"/>
    <b v="0"/>
    <n v="83734"/>
    <n v="0"/>
    <n v="0"/>
    <n v="0"/>
    <n v="0"/>
    <m/>
  </r>
  <r>
    <n v="264"/>
    <s v="2021-02-24"/>
    <x v="20"/>
    <s v="banner_partner"/>
    <x v="0"/>
    <x v="0"/>
    <n v="39889"/>
    <n v="2770687"/>
    <n v="34169.9"/>
    <n v="1.5176741364145427E-3"/>
    <n v="4205"/>
    <b v="0"/>
    <n v="84"/>
    <b v="0"/>
    <n v="16"/>
    <b v="0"/>
    <n v="63696"/>
    <n v="0"/>
    <n v="0"/>
    <n v="0"/>
    <n v="0"/>
    <m/>
  </r>
  <r>
    <n v="132"/>
    <s v="2021-02-12"/>
    <x v="21"/>
    <s v="banner_partner"/>
    <x v="0"/>
    <x v="0"/>
    <n v="39889"/>
    <n v="10819771"/>
    <n v="145201"/>
    <n v="1.5534524714062802E-3"/>
    <n v="16808"/>
    <b v="0"/>
    <n v="336"/>
    <b v="0"/>
    <n v="49"/>
    <b v="0"/>
    <n v="195069"/>
    <n v="0"/>
    <n v="0"/>
    <n v="0"/>
    <n v="0"/>
    <m/>
  </r>
  <r>
    <n v="110"/>
    <s v="2021-02-10"/>
    <x v="19"/>
    <s v="banner_partner"/>
    <x v="0"/>
    <x v="0"/>
    <n v="39889"/>
    <n v="5219501"/>
    <n v="179519"/>
    <n v="1.6076249434572385E-3"/>
    <n v="8391"/>
    <b v="0"/>
    <n v="302"/>
    <b v="0"/>
    <n v="60"/>
    <b v="0"/>
    <n v="196680"/>
    <n v="0"/>
    <n v="0"/>
    <n v="0"/>
    <n v="0"/>
    <m/>
  </r>
  <r>
    <n v="26"/>
    <s v="2021-02-03"/>
    <x v="3"/>
    <s v="google_wide"/>
    <x v="3"/>
    <x v="2"/>
    <n v="127823"/>
    <n v="4371854"/>
    <n v="49498.9"/>
    <n v="1.6484996982973356E-3"/>
    <n v="7207"/>
    <b v="0"/>
    <n v="144"/>
    <b v="0"/>
    <n v="13"/>
    <b v="0"/>
    <n v="38753"/>
    <n v="0"/>
    <n v="0"/>
    <n v="0"/>
    <n v="0"/>
    <m/>
  </r>
  <r>
    <n v="199"/>
    <s v="2021-02-19"/>
    <x v="22"/>
    <s v="facebook_tier1"/>
    <x v="1"/>
    <x v="1"/>
    <n v="349043"/>
    <n v="15345139"/>
    <n v="53253.9"/>
    <n v="1.7208706939702534E-3"/>
    <n v="26407"/>
    <b v="0"/>
    <n v="71"/>
    <b v="0"/>
    <n v="10"/>
    <b v="0"/>
    <n v="44550"/>
    <n v="0"/>
    <n v="0"/>
    <n v="0"/>
    <n v="0"/>
    <m/>
  </r>
  <r>
    <n v="50"/>
    <s v="2021-02-05"/>
    <x v="16"/>
    <s v="instagram_tier1"/>
    <x v="2"/>
    <x v="1"/>
    <n v="9034945"/>
    <n v="7485780"/>
    <n v="258306"/>
    <n v="1.8031521097333879E-3"/>
    <n v="13498"/>
    <b v="0"/>
    <n v="526"/>
    <b v="0"/>
    <n v="76"/>
    <b v="0"/>
    <n v="454556"/>
    <n v="0"/>
    <n v="0"/>
    <n v="0"/>
    <n v="0"/>
    <m/>
  </r>
  <r>
    <n v="88"/>
    <s v="2021-02-08"/>
    <x v="23"/>
    <s v="banner_partner"/>
    <x v="0"/>
    <x v="0"/>
    <n v="39889"/>
    <n v="2233790"/>
    <n v="31883.9"/>
    <n v="1.8788695445856594E-3"/>
    <n v="4197"/>
    <b v="0"/>
    <n v="84"/>
    <b v="0"/>
    <n v="10"/>
    <b v="0"/>
    <n v="42280"/>
    <n v="0"/>
    <n v="0"/>
    <n v="0"/>
    <n v="0"/>
    <m/>
  </r>
  <r>
    <n v="220"/>
    <s v="2021-02-20"/>
    <x v="24"/>
    <s v="banner_partner"/>
    <x v="0"/>
    <x v="0"/>
    <n v="39889"/>
    <n v="26012342"/>
    <n v="750361"/>
    <n v="1.9378493485899886E-3"/>
    <n v="50408"/>
    <b v="0"/>
    <n v="1678"/>
    <b v="0"/>
    <n v="252"/>
    <b v="0"/>
    <n v="1003210"/>
    <n v="0"/>
    <n v="0"/>
    <n v="0"/>
    <n v="0"/>
    <m/>
  </r>
  <r>
    <n v="70"/>
    <s v="2021-02-07"/>
    <x v="12"/>
    <s v="google_wide"/>
    <x v="3"/>
    <x v="2"/>
    <n v="127823"/>
    <n v="1137473"/>
    <n v="18102.099999999999"/>
    <n v="2.1134567589736197E-3"/>
    <n v="2404"/>
    <b v="0"/>
    <n v="48"/>
    <b v="0"/>
    <n v="5"/>
    <b v="0"/>
    <n v="17845"/>
    <n v="0"/>
    <n v="0"/>
    <n v="0"/>
    <n v="0"/>
    <m/>
  </r>
  <r>
    <n v="72"/>
    <s v="2021-02-07"/>
    <x v="12"/>
    <s v="instagram_tier1"/>
    <x v="2"/>
    <x v="1"/>
    <n v="9034945"/>
    <n v="1246126"/>
    <n v="37965.9"/>
    <n v="2.1635051351147475E-3"/>
    <n v="2696"/>
    <b v="0"/>
    <n v="100"/>
    <b v="0"/>
    <n v="11"/>
    <b v="0"/>
    <n v="65791"/>
    <n v="0"/>
    <n v="0"/>
    <n v="0"/>
    <n v="0"/>
    <m/>
  </r>
  <r>
    <n v="112"/>
    <s v="2021-02-11"/>
    <x v="25"/>
    <s v="facebOOK_tier2"/>
    <x v="5"/>
    <x v="1"/>
    <n v="348934"/>
    <n v="4564542"/>
    <n v="188516"/>
    <n v="2.1677969005433621E-3"/>
    <n v="9895"/>
    <b v="0"/>
    <n v="304"/>
    <b v="0"/>
    <n v="28"/>
    <b v="0"/>
    <n v="131068"/>
    <n v="0"/>
    <n v="0"/>
    <n v="0"/>
    <n v="0"/>
    <m/>
  </r>
  <r>
    <n v="191"/>
    <s v="2021-02-18"/>
    <x v="5"/>
    <s v="google_wide"/>
    <x v="3"/>
    <x v="2"/>
    <n v="127823"/>
    <n v="10593685"/>
    <n v="200986"/>
    <n v="2.2659726053776376E-3"/>
    <n v="24005"/>
    <b v="0"/>
    <n v="480"/>
    <b v="0"/>
    <n v="43"/>
    <b v="0"/>
    <n v="93353"/>
    <n v="0"/>
    <n v="0"/>
    <n v="0"/>
    <n v="0"/>
    <m/>
  </r>
  <r>
    <n v="187"/>
    <s v="2021-02-17"/>
    <x v="18"/>
    <s v="banner_partner"/>
    <x v="0"/>
    <x v="0"/>
    <n v="39889"/>
    <n v="16553044"/>
    <n v="523398"/>
    <n v="2.2838699637359751E-3"/>
    <n v="37805"/>
    <b v="0"/>
    <n v="756"/>
    <b v="0"/>
    <n v="142"/>
    <b v="0"/>
    <n v="565302"/>
    <n v="0"/>
    <n v="0"/>
    <n v="0"/>
    <n v="0"/>
    <m/>
  </r>
  <r>
    <n v="297"/>
    <s v="2021-02-27"/>
    <x v="14"/>
    <s v="banner_partner"/>
    <x v="0"/>
    <x v="0"/>
    <n v="39889"/>
    <n v="182546"/>
    <n v="2791.06"/>
    <n v="2.3336583655626528E-3"/>
    <n v="426"/>
    <b v="0"/>
    <n v="9"/>
    <b v="0"/>
    <n v="1"/>
    <b v="0"/>
    <n v="3981"/>
    <n v="0"/>
    <n v="0"/>
    <n v="0"/>
    <n v="0"/>
    <m/>
  </r>
  <r>
    <n v="193"/>
    <s v="2021-02-18"/>
    <x v="5"/>
    <s v="instagram_tier1"/>
    <x v="2"/>
    <x v="1"/>
    <n v="9034945"/>
    <n v="11212959"/>
    <n v="241388"/>
    <n v="2.4087308265374019E-3"/>
    <n v="27009"/>
    <b v="0"/>
    <n v="599"/>
    <b v="0"/>
    <n v="72"/>
    <b v="0"/>
    <n v="430632"/>
    <n v="0"/>
    <n v="0"/>
    <n v="0"/>
    <n v="0"/>
    <m/>
  </r>
  <r>
    <n v="209"/>
    <s v="2021-02-19"/>
    <x v="22"/>
    <s v="banner_partner"/>
    <x v="0"/>
    <x v="0"/>
    <n v="39889"/>
    <n v="19065489"/>
    <n v="492126"/>
    <n v="2.4236986525758663E-3"/>
    <n v="46209"/>
    <b v="0"/>
    <n v="924"/>
    <b v="0"/>
    <n v="139"/>
    <b v="0"/>
    <n v="556417"/>
    <n v="0"/>
    <n v="0"/>
    <n v="0"/>
    <n v="0"/>
    <m/>
  </r>
  <r>
    <n v="121"/>
    <s v="2021-02-11"/>
    <x v="25"/>
    <s v="banner_partner"/>
    <x v="0"/>
    <x v="0"/>
    <n v="39889"/>
    <n v="5125187"/>
    <n v="193124"/>
    <n v="2.4588371116995339E-3"/>
    <n v="12602"/>
    <b v="0"/>
    <n v="482"/>
    <b v="0"/>
    <n v="57"/>
    <b v="0"/>
    <n v="226917"/>
    <n v="0"/>
    <n v="0"/>
    <n v="0"/>
    <n v="0"/>
    <m/>
  </r>
  <r>
    <n v="145"/>
    <s v="2021-02-14"/>
    <x v="26"/>
    <s v="facebOOK_tier2"/>
    <x v="5"/>
    <x v="1"/>
    <n v="348934"/>
    <n v="7936534"/>
    <n v="197948"/>
    <n v="2.4944138083450532E-3"/>
    <n v="19797"/>
    <b v="0"/>
    <n v="396"/>
    <b v="0"/>
    <n v="30"/>
    <b v="0"/>
    <n v="149430"/>
    <n v="0"/>
    <n v="0"/>
    <n v="0"/>
    <n v="0"/>
    <m/>
  </r>
  <r>
    <n v="248"/>
    <s v="2021-02-23"/>
    <x v="17"/>
    <s v="instagram_tier1"/>
    <x v="2"/>
    <x v="1"/>
    <n v="9034945"/>
    <n v="536236"/>
    <n v="557.25"/>
    <n v="2.5156833931328742E-3"/>
    <n v="1349"/>
    <b v="0"/>
    <n v="1"/>
    <b v="0"/>
    <n v="0"/>
    <b v="0"/>
    <n v="0"/>
    <n v="0"/>
    <n v="0"/>
    <n v="0"/>
    <n v="0"/>
    <m/>
  </r>
  <r>
    <n v="55"/>
    <s v="2021-02-05"/>
    <x v="16"/>
    <s v="banner_partner"/>
    <x v="0"/>
    <x v="0"/>
    <n v="39889"/>
    <n v="8238872"/>
    <n v="427922"/>
    <n v="2.5485284878803798E-3"/>
    <n v="20997"/>
    <b v="0"/>
    <n v="796"/>
    <b v="0"/>
    <n v="119"/>
    <b v="0"/>
    <n v="471240"/>
    <n v="0"/>
    <n v="0"/>
    <n v="0"/>
    <n v="0"/>
    <m/>
  </r>
  <r>
    <n v="172"/>
    <s v="2021-02-16"/>
    <x v="11"/>
    <s v="instagram_tier2"/>
    <x v="4"/>
    <x v="1"/>
    <n v="983498"/>
    <n v="15988504"/>
    <n v="103731"/>
    <n v="2.5514582227330338E-3"/>
    <n v="40794"/>
    <b v="0"/>
    <n v="816"/>
    <b v="0"/>
    <n v="24"/>
    <b v="0"/>
    <n v="41424"/>
    <n v="0"/>
    <n v="0"/>
    <n v="0"/>
    <n v="0"/>
    <m/>
  </r>
  <r>
    <n v="128"/>
    <s v="2021-02-12"/>
    <x v="21"/>
    <s v="instagram_tier2"/>
    <x v="4"/>
    <x v="1"/>
    <n v="983498"/>
    <n v="7156880"/>
    <n v="49060.3"/>
    <n v="2.8491465554822772E-3"/>
    <n v="20391"/>
    <b v="0"/>
    <n v="408"/>
    <b v="0"/>
    <n v="15"/>
    <b v="0"/>
    <n v="29715"/>
    <n v="0"/>
    <n v="0"/>
    <n v="0"/>
    <n v="0"/>
    <m/>
  </r>
  <r>
    <n v="35"/>
    <s v="2021-02-04"/>
    <x v="10"/>
    <s v="facebOOK_tier2"/>
    <x v="5"/>
    <x v="1"/>
    <n v="348934"/>
    <n v="4597702"/>
    <n v="115389"/>
    <n v="2.8723044686236733E-3"/>
    <n v="13206"/>
    <b v="0"/>
    <n v="143"/>
    <b v="0"/>
    <n v="17"/>
    <b v="0"/>
    <n v="82909"/>
    <n v="0"/>
    <n v="0"/>
    <n v="0"/>
    <n v="0"/>
    <m/>
  </r>
  <r>
    <n v="127"/>
    <s v="2021-02-12"/>
    <x v="21"/>
    <s v="instagram_tier1"/>
    <x v="2"/>
    <x v="1"/>
    <n v="9034945"/>
    <n v="3735390"/>
    <n v="26659.9"/>
    <n v="2.8928706239509127E-3"/>
    <n v="10806"/>
    <b v="0"/>
    <n v="115"/>
    <b v="0"/>
    <n v="9"/>
    <b v="0"/>
    <n v="53523"/>
    <n v="0"/>
    <n v="0"/>
    <n v="0"/>
    <n v="0"/>
    <m/>
  </r>
  <r>
    <n v="210"/>
    <s v="2021-02-20"/>
    <x v="24"/>
    <s v="facebook_tier1"/>
    <x v="1"/>
    <x v="1"/>
    <n v="349043"/>
    <n v="9916906"/>
    <n v="56874.2"/>
    <n v="2.9037282394327422E-3"/>
    <n v="28796"/>
    <b v="0"/>
    <n v="88"/>
    <b v="0"/>
    <n v="12"/>
    <b v="0"/>
    <n v="59772"/>
    <n v="0"/>
    <n v="0"/>
    <n v="0"/>
    <n v="0"/>
    <m/>
  </r>
  <r>
    <n v="6"/>
    <s v="2021-02-01"/>
    <x v="1"/>
    <s v="instagram_tier1"/>
    <x v="2"/>
    <x v="1"/>
    <n v="9034945"/>
    <n v="444857"/>
    <n v="9540.01"/>
    <n v="3.0166997484584934E-3"/>
    <n v="1342"/>
    <b v="0"/>
    <n v="27"/>
    <b v="0"/>
    <n v="3"/>
    <b v="0"/>
    <n v="17943"/>
    <n v="0"/>
    <n v="0"/>
    <n v="0"/>
    <n v="0"/>
    <m/>
  </r>
  <r>
    <n v="259"/>
    <s v="2021-02-24"/>
    <x v="20"/>
    <s v="instagram_tier1"/>
    <x v="2"/>
    <x v="1"/>
    <n v="9034945"/>
    <n v="869482"/>
    <n v="23908.400000000001"/>
    <n v="3.1087475071364329E-3"/>
    <n v="2703"/>
    <b v="0"/>
    <n v="42"/>
    <b v="0"/>
    <n v="7"/>
    <b v="0"/>
    <n v="36456"/>
    <n v="0"/>
    <n v="0"/>
    <n v="0"/>
    <n v="0"/>
    <m/>
  </r>
  <r>
    <n v="23"/>
    <s v="2021-02-03"/>
    <x v="3"/>
    <s v="facebook_tier1"/>
    <x v="1"/>
    <x v="1"/>
    <n v="349043"/>
    <n v="2313889"/>
    <n v="65284.4"/>
    <n v="3.1103479898992562E-3"/>
    <n v="7197"/>
    <b v="0"/>
    <n v="115"/>
    <b v="0"/>
    <n v="13"/>
    <b v="0"/>
    <n v="72527"/>
    <n v="0"/>
    <n v="0"/>
    <n v="0"/>
    <n v="0"/>
    <m/>
  </r>
  <r>
    <n v="202"/>
    <s v="2021-02-19"/>
    <x v="22"/>
    <s v="google_wide"/>
    <x v="3"/>
    <x v="2"/>
    <n v="127823"/>
    <n v="8455475"/>
    <n v="81623.5"/>
    <n v="3.122946966314725E-3"/>
    <n v="26406"/>
    <b v="0"/>
    <n v="281"/>
    <b v="0"/>
    <n v="20"/>
    <b v="0"/>
    <n v="72300"/>
    <n v="0"/>
    <n v="0"/>
    <n v="0"/>
    <n v="0"/>
    <m/>
  </r>
  <r>
    <n v="233"/>
    <s v="2021-02-22"/>
    <x v="0"/>
    <s v="facebOOK_tier2"/>
    <x v="5"/>
    <x v="1"/>
    <n v="348934"/>
    <n v="2090371"/>
    <n v="95536.2"/>
    <n v="3.1602045761254822E-3"/>
    <n v="6606"/>
    <b v="0"/>
    <n v="132"/>
    <b v="0"/>
    <n v="14"/>
    <b v="0"/>
    <n v="69734"/>
    <n v="0"/>
    <n v="0"/>
    <n v="0"/>
    <n v="0"/>
    <m/>
  </r>
  <r>
    <n v="62"/>
    <s v="2021-02-06"/>
    <x v="4"/>
    <s v="instagram_tier2"/>
    <x v="4"/>
    <x v="1"/>
    <n v="983498"/>
    <n v="1589341"/>
    <n v="12183.4"/>
    <n v="3.2038436056201912E-3"/>
    <n v="5092"/>
    <b v="0"/>
    <n v="102"/>
    <b v="0"/>
    <n v="5"/>
    <b v="0"/>
    <n v="12295"/>
    <n v="0"/>
    <n v="0"/>
    <n v="0"/>
    <n v="0"/>
    <m/>
  </r>
  <r>
    <n v="253"/>
    <s v="2021-02-23"/>
    <x v="17"/>
    <s v="banner_partner"/>
    <x v="0"/>
    <x v="0"/>
    <n v="39889"/>
    <n v="654544"/>
    <n v="16706.400000000001"/>
    <n v="3.2068126818059596E-3"/>
    <n v="2099"/>
    <b v="0"/>
    <n v="42"/>
    <b v="0"/>
    <n v="6"/>
    <b v="0"/>
    <n v="23886"/>
    <n v="0"/>
    <n v="0"/>
    <n v="0"/>
    <n v="0"/>
    <m/>
  </r>
  <r>
    <n v="165"/>
    <s v="2021-02-15"/>
    <x v="27"/>
    <s v="banner_partner"/>
    <x v="0"/>
    <x v="0"/>
    <n v="39889"/>
    <n v="8747458"/>
    <n v="543275"/>
    <n v="3.3598332224058693E-3"/>
    <n v="29390"/>
    <b v="0"/>
    <n v="1061"/>
    <b v="0"/>
    <n v="171"/>
    <b v="0"/>
    <n v="809685"/>
    <n v="0"/>
    <n v="0"/>
    <n v="0"/>
    <n v="0"/>
    <m/>
  </r>
  <r>
    <n v="13"/>
    <s v="2021-02-02"/>
    <x v="2"/>
    <s v="facebOOK_tier2"/>
    <x v="5"/>
    <x v="1"/>
    <n v="348934"/>
    <n v="957806"/>
    <n v="2198.0500000000002"/>
    <n v="3.4391097988527948E-3"/>
    <n v="3294"/>
    <b v="0"/>
    <n v="10"/>
    <b v="0"/>
    <n v="0"/>
    <b v="0"/>
    <n v="0"/>
    <n v="0"/>
    <n v="0"/>
    <n v="0"/>
    <n v="0"/>
    <m/>
  </r>
  <r>
    <n v="244"/>
    <s v="2021-02-23"/>
    <x v="17"/>
    <s v="facebOOK_tier2"/>
    <x v="5"/>
    <x v="1"/>
    <n v="348934"/>
    <n v="475992"/>
    <n v="19350"/>
    <n v="3.4475369333938385E-3"/>
    <n v="1641"/>
    <b v="0"/>
    <n v="37"/>
    <b v="0"/>
    <n v="3"/>
    <b v="0"/>
    <n v="12225"/>
    <n v="0"/>
    <n v="0"/>
    <n v="0"/>
    <n v="0"/>
    <m/>
  </r>
  <r>
    <n v="45"/>
    <s v="2021-02-05"/>
    <x v="16"/>
    <s v="facebook_tier1"/>
    <x v="1"/>
    <x v="1"/>
    <n v="349043"/>
    <n v="3462883"/>
    <n v="90691.7"/>
    <n v="3.4644543289507617E-3"/>
    <n v="11997"/>
    <b v="0"/>
    <n v="143"/>
    <b v="0"/>
    <n v="17"/>
    <b v="0"/>
    <n v="84677"/>
    <n v="0"/>
    <n v="0"/>
    <n v="0"/>
    <n v="0"/>
    <m/>
  </r>
  <r>
    <n v="136"/>
    <s v="2021-02-13"/>
    <x v="15"/>
    <s v="google_wide"/>
    <x v="3"/>
    <x v="2"/>
    <n v="127823"/>
    <n v="3452027"/>
    <n v="216562"/>
    <n v="3.4791153139879846E-3"/>
    <n v="12010"/>
    <b v="0"/>
    <n v="378"/>
    <b v="0"/>
    <n v="56"/>
    <b v="0"/>
    <n v="123088"/>
    <n v="0"/>
    <n v="0"/>
    <n v="0"/>
    <n v="0"/>
    <m/>
  </r>
  <r>
    <n v="154"/>
    <s v="2021-02-14"/>
    <x v="26"/>
    <s v="banner_partner"/>
    <x v="0"/>
    <x v="0"/>
    <n v="39889"/>
    <n v="7218480"/>
    <n v="225274"/>
    <n v="3.4896543316598506E-3"/>
    <n v="25190"/>
    <b v="0"/>
    <n v="504"/>
    <b v="0"/>
    <n v="76"/>
    <b v="0"/>
    <n v="236056"/>
    <n v="0"/>
    <n v="0"/>
    <n v="0"/>
    <n v="0"/>
    <m/>
  </r>
  <r>
    <n v="94"/>
    <s v="2021-02-09"/>
    <x v="13"/>
    <s v="instagram_tier1"/>
    <x v="2"/>
    <x v="1"/>
    <n v="9034945"/>
    <n v="759532"/>
    <n v="10317"/>
    <n v="3.5561372002759595E-3"/>
    <n v="2701"/>
    <b v="0"/>
    <n v="19"/>
    <b v="0"/>
    <n v="3"/>
    <b v="0"/>
    <n v="19800"/>
    <n v="0"/>
    <n v="0"/>
    <n v="0"/>
    <n v="0"/>
    <m/>
  </r>
  <r>
    <n v="116"/>
    <s v="2021-02-11"/>
    <x v="25"/>
    <s v="instagram_tier1"/>
    <x v="2"/>
    <x v="1"/>
    <n v="9034945"/>
    <n v="2224531"/>
    <n v="348.99"/>
    <n v="3.6439141553882594E-3"/>
    <n v="8106"/>
    <b v="0"/>
    <n v="1"/>
    <b v="0"/>
    <n v="0"/>
    <b v="0"/>
    <n v="0"/>
    <n v="0"/>
    <n v="0"/>
    <n v="0"/>
    <n v="0"/>
    <m/>
  </r>
  <r>
    <n v="277"/>
    <s v="2021-02-26"/>
    <x v="7"/>
    <s v="facebOOK_tier2"/>
    <x v="5"/>
    <x v="1"/>
    <n v="348934"/>
    <n v="438858"/>
    <n v="17935.400000000001"/>
    <n v="3.7757087714021392E-3"/>
    <n v="1657"/>
    <b v="0"/>
    <n v="33"/>
    <b v="0"/>
    <n v="3"/>
    <b v="0"/>
    <n v="15345"/>
    <n v="0"/>
    <n v="0"/>
    <n v="0"/>
    <n v="0"/>
    <m/>
  </r>
  <r>
    <n v="194"/>
    <s v="2021-02-18"/>
    <x v="5"/>
    <s v="instagram_tier2"/>
    <x v="4"/>
    <x v="1"/>
    <n v="983498"/>
    <n v="13281923"/>
    <n v="58596.4"/>
    <n v="3.8398054257655313E-3"/>
    <n v="51000"/>
    <b v="0"/>
    <n v="1020"/>
    <b v="0"/>
    <n v="16"/>
    <b v="0"/>
    <n v="36016"/>
    <n v="0"/>
    <n v="0"/>
    <n v="0"/>
    <n v="0"/>
    <m/>
  </r>
  <r>
    <n v="34"/>
    <s v="2021-02-04"/>
    <x v="10"/>
    <s v="facebook_tier1"/>
    <x v="1"/>
    <x v="1"/>
    <n v="349043"/>
    <n v="2475754"/>
    <n v="173914"/>
    <n v="3.8780104970041452E-3"/>
    <n v="9601"/>
    <b v="0"/>
    <n v="192"/>
    <b v="0"/>
    <n v="31"/>
    <b v="0"/>
    <n v="154411"/>
    <n v="0"/>
    <n v="0"/>
    <n v="0"/>
    <n v="0"/>
    <m/>
  </r>
  <r>
    <n v="215"/>
    <s v="2021-02-20"/>
    <x v="24"/>
    <s v="instagram_tier1"/>
    <x v="2"/>
    <x v="1"/>
    <n v="9034945"/>
    <n v="7669421"/>
    <n v="404737"/>
    <n v="4.2239172944085347E-3"/>
    <n v="32395"/>
    <b v="0"/>
    <n v="1003"/>
    <b v="0"/>
    <n v="139"/>
    <b v="0"/>
    <n v="847066"/>
    <n v="0"/>
    <n v="0"/>
    <n v="0"/>
    <n v="0"/>
    <m/>
  </r>
  <r>
    <n v="147"/>
    <s v="2021-02-14"/>
    <x v="26"/>
    <s v="google_wide"/>
    <x v="3"/>
    <x v="2"/>
    <n v="127823"/>
    <n v="3111389"/>
    <n v="196998"/>
    <n v="4.6249440362487624E-3"/>
    <n v="14390"/>
    <b v="0"/>
    <n v="498"/>
    <b v="0"/>
    <n v="48"/>
    <b v="0"/>
    <n v="101280"/>
    <n v="0"/>
    <n v="0"/>
    <n v="0"/>
    <n v="0"/>
    <m/>
  </r>
  <r>
    <n v="238"/>
    <s v="2021-02-22"/>
    <x v="0"/>
    <s v="instagram_tier2"/>
    <x v="4"/>
    <x v="1"/>
    <n v="983498"/>
    <n v="2190892"/>
    <n v="19196.599999999999"/>
    <n v="4.656550847782547E-3"/>
    <n v="10202"/>
    <b v="0"/>
    <n v="124"/>
    <b v="0"/>
    <n v="7"/>
    <b v="0"/>
    <n v="14602"/>
    <n v="0"/>
    <n v="0"/>
    <n v="0"/>
    <n v="0"/>
    <m/>
  </r>
  <r>
    <n v="204"/>
    <s v="2021-02-19"/>
    <x v="22"/>
    <s v="instagram_tier1"/>
    <x v="2"/>
    <x v="1"/>
    <n v="9034945"/>
    <n v="6168252"/>
    <n v="300775"/>
    <n v="4.8148162558857843E-3"/>
    <n v="29699"/>
    <b v="0"/>
    <n v="1082"/>
    <b v="0"/>
    <n v="96"/>
    <b v="0"/>
    <n v="574176"/>
    <n v="0"/>
    <n v="0"/>
    <n v="0"/>
    <n v="0"/>
    <m/>
  </r>
  <r>
    <n v="182"/>
    <s v="2021-02-17"/>
    <x v="18"/>
    <s v="instagram_tier1"/>
    <x v="2"/>
    <x v="1"/>
    <n v="9034945"/>
    <n v="4999407"/>
    <n v="246023"/>
    <n v="4.859376322031793E-3"/>
    <n v="24294"/>
    <b v="0"/>
    <n v="606"/>
    <b v="0"/>
    <n v="73"/>
    <b v="0"/>
    <n v="496546"/>
    <n v="0"/>
    <n v="0"/>
    <n v="0"/>
    <n v="0"/>
    <m/>
  </r>
  <r>
    <n v="178"/>
    <s v="2021-02-17"/>
    <x v="18"/>
    <s v="facebOOK_tier2"/>
    <x v="5"/>
    <x v="1"/>
    <n v="348934"/>
    <n v="6102420"/>
    <n v="403691"/>
    <n v="4.8675771251405183E-3"/>
    <n v="29704"/>
    <b v="0"/>
    <n v="594"/>
    <b v="0"/>
    <n v="61"/>
    <b v="0"/>
    <n v="303841"/>
    <n v="0"/>
    <n v="0"/>
    <n v="0"/>
    <n v="0"/>
    <m/>
  </r>
  <r>
    <n v="226"/>
    <s v="2021-02-21"/>
    <x v="6"/>
    <s v="instagram_tier1"/>
    <x v="2"/>
    <x v="1"/>
    <n v="9034945"/>
    <n v="555915"/>
    <n v="29457.5"/>
    <n v="4.8730471385013893E-3"/>
    <n v="2709"/>
    <b v="0"/>
    <n v="60"/>
    <b v="0"/>
    <n v="10"/>
    <b v="0"/>
    <n v="55540"/>
    <n v="0"/>
    <n v="0"/>
    <n v="0"/>
    <n v="0"/>
    <m/>
  </r>
  <r>
    <n v="7"/>
    <s v="2021-02-01"/>
    <x v="1"/>
    <s v="instagram_tier2"/>
    <x v="4"/>
    <x v="1"/>
    <n v="983498"/>
    <n v="511200"/>
    <n v="3648.9"/>
    <n v="5.0000000000000001E-3"/>
    <n v="2556"/>
    <b v="0"/>
    <n v="94"/>
    <b v="0"/>
    <n v="1"/>
    <b v="0"/>
    <n v="1981"/>
    <n v="0"/>
    <n v="0"/>
    <n v="0"/>
    <n v="0"/>
    <m/>
  </r>
  <r>
    <n v="12"/>
    <s v="2021-02-02"/>
    <x v="2"/>
    <s v="facebook_tier1"/>
    <x v="1"/>
    <x v="1"/>
    <n v="349043"/>
    <n v="478200"/>
    <n v="18385.3"/>
    <n v="5.0000000000000001E-3"/>
    <n v="2391"/>
    <b v="0"/>
    <n v="48"/>
    <b v="0"/>
    <n v="4"/>
    <b v="0"/>
    <n v="17812"/>
    <n v="0"/>
    <n v="0"/>
    <n v="0"/>
    <n v="0"/>
    <m/>
  </r>
  <r>
    <n v="17"/>
    <s v="2021-02-02"/>
    <x v="2"/>
    <s v="instagram_tier1"/>
    <x v="2"/>
    <x v="1"/>
    <n v="9034945"/>
    <n v="540200"/>
    <n v="29081.1"/>
    <n v="5.0000000000000001E-3"/>
    <n v="2701"/>
    <b v="0"/>
    <n v="54"/>
    <b v="0"/>
    <n v="9"/>
    <b v="0"/>
    <n v="45585"/>
    <n v="0"/>
    <n v="0"/>
    <n v="0"/>
    <n v="0"/>
    <m/>
  </r>
  <r>
    <n v="18"/>
    <s v="2021-02-02"/>
    <x v="2"/>
    <s v="instagram_tier2"/>
    <x v="4"/>
    <x v="1"/>
    <n v="983498"/>
    <n v="1020800"/>
    <n v="1421.34"/>
    <n v="5.0000000000000001E-3"/>
    <n v="5104"/>
    <b v="0"/>
    <n v="14"/>
    <b v="0"/>
    <n v="0"/>
    <b v="0"/>
    <n v="0"/>
    <n v="0"/>
    <n v="0"/>
    <n v="0"/>
    <n v="0"/>
    <m/>
  </r>
  <r>
    <n v="28"/>
    <s v="2021-02-03"/>
    <x v="3"/>
    <s v="instagram_tier1"/>
    <x v="2"/>
    <x v="1"/>
    <n v="9034945"/>
    <n v="1618600"/>
    <n v="62509.8"/>
    <n v="5.0000000000000001E-3"/>
    <n v="8093"/>
    <b v="0"/>
    <n v="166"/>
    <b v="0"/>
    <n v="15"/>
    <b v="0"/>
    <n v="84600"/>
    <n v="0"/>
    <n v="0"/>
    <n v="0"/>
    <n v="0"/>
    <m/>
  </r>
  <r>
    <n v="29"/>
    <s v="2021-02-03"/>
    <x v="3"/>
    <s v="instagram_tier2"/>
    <x v="4"/>
    <x v="1"/>
    <n v="983498"/>
    <n v="3059600"/>
    <n v="94399.9"/>
    <n v="5.0000000000000001E-3"/>
    <n v="15298"/>
    <b v="0"/>
    <n v="592"/>
    <b v="0"/>
    <n v="36"/>
    <b v="0"/>
    <n v="104184"/>
    <n v="0"/>
    <n v="0"/>
    <n v="0"/>
    <n v="0"/>
    <m/>
  </r>
  <r>
    <n v="46"/>
    <s v="2021-02-05"/>
    <x v="16"/>
    <s v="facebOOK_tier2"/>
    <x v="5"/>
    <x v="1"/>
    <n v="348934"/>
    <n v="3299600"/>
    <n v="261047"/>
    <n v="5.0000000000000001E-3"/>
    <n v="16498"/>
    <b v="0"/>
    <n v="330"/>
    <b v="0"/>
    <n v="42"/>
    <b v="0"/>
    <n v="209202"/>
    <n v="0"/>
    <n v="0"/>
    <n v="0"/>
    <n v="0"/>
    <m/>
  </r>
  <r>
    <n v="51"/>
    <s v="2021-02-05"/>
    <x v="16"/>
    <s v="instagram_tier2"/>
    <x v="4"/>
    <x v="1"/>
    <n v="983498"/>
    <n v="5100600"/>
    <n v="13588.8"/>
    <n v="5.0000000000000001E-3"/>
    <n v="25503"/>
    <b v="0"/>
    <n v="765"/>
    <b v="0"/>
    <n v="4"/>
    <b v="0"/>
    <n v="7924"/>
    <n v="0"/>
    <n v="0"/>
    <n v="0"/>
    <n v="0"/>
    <m/>
  </r>
  <r>
    <n v="59"/>
    <s v="2021-02-06"/>
    <x v="4"/>
    <s v="google_wide"/>
    <x v="3"/>
    <x v="2"/>
    <n v="127823"/>
    <n v="478400"/>
    <n v="22542"/>
    <n v="5.0000000000000001E-3"/>
    <n v="2392"/>
    <b v="0"/>
    <n v="48"/>
    <b v="0"/>
    <n v="6"/>
    <b v="0"/>
    <n v="13152"/>
    <n v="0"/>
    <n v="0"/>
    <n v="0"/>
    <n v="0"/>
    <m/>
  </r>
  <r>
    <n v="67"/>
    <s v="2021-02-07"/>
    <x v="12"/>
    <s v="facebook_tier1"/>
    <x v="1"/>
    <x v="1"/>
    <n v="349043"/>
    <n v="478000"/>
    <n v="27314.400000000001"/>
    <n v="5.0000000000000001E-3"/>
    <n v="2390"/>
    <b v="0"/>
    <n v="45"/>
    <b v="0"/>
    <n v="5"/>
    <b v="0"/>
    <n v="24905"/>
    <n v="0"/>
    <n v="0"/>
    <n v="0"/>
    <n v="0"/>
    <m/>
  </r>
  <r>
    <n v="68"/>
    <s v="2021-02-07"/>
    <x v="12"/>
    <s v="facebOOK_tier2"/>
    <x v="5"/>
    <x v="1"/>
    <n v="348934"/>
    <n v="659000"/>
    <n v="38485.599999999999"/>
    <n v="5.0000000000000001E-3"/>
    <n v="3295"/>
    <b v="0"/>
    <n v="66"/>
    <b v="0"/>
    <n v="5"/>
    <b v="0"/>
    <n v="23735"/>
    <n v="0"/>
    <n v="0"/>
    <n v="0"/>
    <n v="0"/>
    <m/>
  </r>
  <r>
    <n v="78"/>
    <s v="2021-02-08"/>
    <x v="23"/>
    <s v="facebook_tier1"/>
    <x v="1"/>
    <x v="1"/>
    <n v="349043"/>
    <n v="479000"/>
    <n v="27210.400000000001"/>
    <n v="5.0000000000000001E-3"/>
    <n v="2395"/>
    <b v="0"/>
    <n v="36"/>
    <b v="0"/>
    <n v="5"/>
    <b v="0"/>
    <n v="22345"/>
    <n v="0"/>
    <n v="0"/>
    <n v="0"/>
    <n v="0"/>
    <m/>
  </r>
  <r>
    <n v="81"/>
    <s v="2021-02-08"/>
    <x v="23"/>
    <s v="google_wide"/>
    <x v="3"/>
    <x v="2"/>
    <n v="127823"/>
    <n v="478000"/>
    <n v="16567.5"/>
    <n v="5.0000000000000001E-3"/>
    <n v="2390"/>
    <b v="0"/>
    <n v="48"/>
    <b v="0"/>
    <n v="5"/>
    <b v="0"/>
    <n v="16995"/>
    <n v="0"/>
    <n v="0"/>
    <n v="0"/>
    <n v="0"/>
    <m/>
  </r>
  <r>
    <n v="84"/>
    <s v="2021-02-08"/>
    <x v="23"/>
    <s v="instagram_tier2"/>
    <x v="4"/>
    <x v="1"/>
    <n v="983498"/>
    <n v="1020000"/>
    <n v="2057.3000000000002"/>
    <n v="5.0000000000000001E-3"/>
    <n v="5100"/>
    <b v="0"/>
    <n v="102"/>
    <b v="0"/>
    <n v="1"/>
    <b v="0"/>
    <n v="1981"/>
    <n v="0"/>
    <n v="0"/>
    <n v="0"/>
    <n v="0"/>
    <m/>
  </r>
  <r>
    <n v="89"/>
    <s v="2021-02-09"/>
    <x v="13"/>
    <s v="facebook_tier1"/>
    <x v="1"/>
    <x v="1"/>
    <n v="349043"/>
    <n v="478600"/>
    <n v="49036.5"/>
    <n v="5.0000000000000001E-3"/>
    <n v="2393"/>
    <b v="0"/>
    <n v="68"/>
    <b v="0"/>
    <n v="9"/>
    <b v="0"/>
    <n v="42813"/>
    <n v="0"/>
    <n v="0"/>
    <n v="0"/>
    <n v="0"/>
    <m/>
  </r>
  <r>
    <n v="92"/>
    <s v="2021-02-09"/>
    <x v="13"/>
    <s v="google_wide"/>
    <x v="3"/>
    <x v="2"/>
    <n v="127823"/>
    <n v="478600"/>
    <n v="20299.3"/>
    <n v="5.0000000000000001E-3"/>
    <n v="2393"/>
    <b v="0"/>
    <n v="48"/>
    <b v="0"/>
    <n v="5"/>
    <b v="0"/>
    <n v="14905"/>
    <n v="0"/>
    <n v="0"/>
    <n v="0"/>
    <n v="0"/>
    <m/>
  </r>
  <r>
    <n v="95"/>
    <s v="2021-02-09"/>
    <x v="13"/>
    <s v="instagram_tier2"/>
    <x v="4"/>
    <x v="1"/>
    <n v="983498"/>
    <n v="1022000"/>
    <n v="7398.26"/>
    <n v="5.0000000000000001E-3"/>
    <n v="5110"/>
    <b v="0"/>
    <n v="102"/>
    <b v="0"/>
    <n v="3"/>
    <b v="0"/>
    <n v="5943"/>
    <n v="0"/>
    <n v="0"/>
    <n v="0"/>
    <n v="0"/>
    <m/>
  </r>
  <r>
    <n v="100"/>
    <s v="2021-02-10"/>
    <x v="19"/>
    <s v="facebook_tier1"/>
    <x v="1"/>
    <x v="1"/>
    <n v="349043"/>
    <n v="961800"/>
    <n v="43386.400000000001"/>
    <n v="5.0000000000000001E-3"/>
    <n v="4809"/>
    <b v="0"/>
    <n v="96"/>
    <b v="0"/>
    <n v="8"/>
    <b v="0"/>
    <n v="42400"/>
    <n v="0"/>
    <n v="0"/>
    <n v="0"/>
    <n v="0"/>
    <m/>
  </r>
  <r>
    <n v="106"/>
    <s v="2021-02-10"/>
    <x v="19"/>
    <s v="instagram_tier2"/>
    <x v="4"/>
    <x v="1"/>
    <n v="983498"/>
    <n v="2040000"/>
    <n v="14147.9"/>
    <n v="5.0000000000000001E-3"/>
    <n v="10200"/>
    <b v="0"/>
    <n v="395"/>
    <b v="0"/>
    <n v="4"/>
    <b v="0"/>
    <n v="7924"/>
    <n v="0"/>
    <n v="0"/>
    <n v="0"/>
    <n v="0"/>
    <m/>
  </r>
  <r>
    <n v="117"/>
    <s v="2021-02-11"/>
    <x v="25"/>
    <s v="instagram_tier2"/>
    <x v="4"/>
    <x v="1"/>
    <n v="983498"/>
    <n v="3058200"/>
    <n v="4138.7299999999996"/>
    <n v="5.0000000000000001E-3"/>
    <n v="15291"/>
    <b v="0"/>
    <n v="114"/>
    <b v="0"/>
    <n v="1"/>
    <b v="0"/>
    <n v="2771"/>
    <n v="0"/>
    <n v="0"/>
    <n v="0"/>
    <n v="0"/>
    <m/>
  </r>
  <r>
    <n v="123"/>
    <s v="2021-02-12"/>
    <x v="21"/>
    <s v="facebOOK_tier2"/>
    <x v="5"/>
    <x v="1"/>
    <n v="348934"/>
    <n v="2639200"/>
    <n v="191722"/>
    <n v="5.0000000000000001E-3"/>
    <n v="13196"/>
    <b v="0"/>
    <n v="325"/>
    <b v="0"/>
    <n v="32"/>
    <b v="0"/>
    <n v="176512"/>
    <n v="0"/>
    <n v="0"/>
    <n v="0"/>
    <n v="0"/>
    <m/>
  </r>
  <r>
    <n v="138"/>
    <s v="2021-02-13"/>
    <x v="15"/>
    <s v="instagram_tier1"/>
    <x v="2"/>
    <x v="1"/>
    <n v="9034945"/>
    <n v="2698200"/>
    <n v="88844.800000000003"/>
    <n v="5.0000000000000001E-3"/>
    <n v="13491"/>
    <b v="0"/>
    <n v="219"/>
    <b v="0"/>
    <n v="26"/>
    <b v="0"/>
    <n v="176384"/>
    <n v="0"/>
    <n v="0"/>
    <n v="0"/>
    <n v="0"/>
    <m/>
  </r>
  <r>
    <n v="139"/>
    <s v="2021-02-13"/>
    <x v="15"/>
    <s v="instagram_tier2"/>
    <x v="4"/>
    <x v="1"/>
    <n v="983498"/>
    <n v="5100600"/>
    <n v="16656.8"/>
    <n v="5.0000000000000001E-3"/>
    <n v="25503"/>
    <b v="0"/>
    <n v="510"/>
    <b v="0"/>
    <n v="6"/>
    <b v="0"/>
    <n v="10134"/>
    <n v="0"/>
    <n v="0"/>
    <n v="0"/>
    <n v="0"/>
    <m/>
  </r>
  <r>
    <n v="149"/>
    <s v="2021-02-14"/>
    <x v="26"/>
    <s v="instagram_tier1"/>
    <x v="2"/>
    <x v="1"/>
    <n v="9034945"/>
    <n v="3239400"/>
    <n v="312844"/>
    <n v="5.0000000000000001E-3"/>
    <n v="16197"/>
    <b v="0"/>
    <n v="604"/>
    <b v="0"/>
    <n v="72"/>
    <b v="0"/>
    <n v="377352"/>
    <n v="0"/>
    <n v="0"/>
    <n v="0"/>
    <n v="0"/>
    <m/>
  </r>
  <r>
    <n v="155"/>
    <s v="2021-02-15"/>
    <x v="27"/>
    <s v="facebook_tier1"/>
    <x v="1"/>
    <x v="1"/>
    <n v="349043"/>
    <n v="3361800"/>
    <n v="168064"/>
    <n v="5.0000000000000001E-3"/>
    <n v="16809"/>
    <b v="0"/>
    <n v="247"/>
    <b v="0"/>
    <n v="30"/>
    <b v="0"/>
    <n v="149430"/>
    <n v="0"/>
    <n v="0"/>
    <n v="0"/>
    <n v="0"/>
    <m/>
  </r>
  <r>
    <n v="158"/>
    <s v="2021-02-15"/>
    <x v="27"/>
    <s v="google_wide"/>
    <x v="3"/>
    <x v="2"/>
    <n v="127823"/>
    <n v="3359600"/>
    <n v="124854"/>
    <n v="5.0000000000000001E-3"/>
    <n v="16798"/>
    <b v="0"/>
    <n v="336"/>
    <b v="0"/>
    <n v="31"/>
    <b v="0"/>
    <n v="92411"/>
    <n v="0"/>
    <n v="0"/>
    <n v="0"/>
    <n v="0"/>
    <m/>
  </r>
  <r>
    <n v="160"/>
    <s v="2021-02-15"/>
    <x v="27"/>
    <s v="instagram_tier1"/>
    <x v="2"/>
    <x v="1"/>
    <n v="9034945"/>
    <n v="3780200"/>
    <n v="136269"/>
    <n v="5.0000000000000001E-3"/>
    <n v="18901"/>
    <b v="0"/>
    <n v="378"/>
    <b v="0"/>
    <n v="45"/>
    <b v="0"/>
    <n v="269145"/>
    <n v="0"/>
    <n v="0"/>
    <n v="0"/>
    <n v="0"/>
    <m/>
  </r>
  <r>
    <n v="161"/>
    <s v="2021-02-15"/>
    <x v="27"/>
    <s v="instagram_tier2"/>
    <x v="4"/>
    <x v="1"/>
    <n v="983498"/>
    <n v="7138400"/>
    <n v="37098.6"/>
    <n v="5.0000000000000001E-3"/>
    <n v="35692"/>
    <b v="0"/>
    <n v="916"/>
    <b v="0"/>
    <n v="11"/>
    <b v="0"/>
    <n v="21791"/>
    <n v="0"/>
    <n v="0"/>
    <n v="0"/>
    <n v="0"/>
    <m/>
  </r>
  <r>
    <n v="166"/>
    <s v="2021-02-16"/>
    <x v="11"/>
    <s v="facebook_tier1"/>
    <x v="1"/>
    <x v="1"/>
    <n v="349043"/>
    <n v="3839000"/>
    <n v="393027"/>
    <n v="5.0000000000000001E-3"/>
    <n v="19195"/>
    <b v="0"/>
    <n v="384"/>
    <b v="0"/>
    <n v="64"/>
    <b v="0"/>
    <n v="336448"/>
    <n v="0"/>
    <n v="0"/>
    <n v="0"/>
    <n v="0"/>
    <m/>
  </r>
  <r>
    <n v="167"/>
    <s v="2021-02-16"/>
    <x v="11"/>
    <s v="facebOOK_tier2"/>
    <x v="5"/>
    <x v="1"/>
    <n v="348934"/>
    <n v="5280000"/>
    <n v="595176"/>
    <n v="5.0000000000000001E-3"/>
    <n v="26400"/>
    <b v="0"/>
    <n v="923"/>
    <b v="0"/>
    <n v="80"/>
    <b v="0"/>
    <n v="392160"/>
    <n v="0"/>
    <n v="0"/>
    <n v="0"/>
    <n v="0"/>
    <m/>
  </r>
  <r>
    <n v="169"/>
    <s v="2021-02-16"/>
    <x v="11"/>
    <s v="google_wide"/>
    <x v="3"/>
    <x v="2"/>
    <n v="127823"/>
    <n v="3841400"/>
    <n v="271906"/>
    <n v="5.0000000000000001E-3"/>
    <n v="19207"/>
    <b v="0"/>
    <n v="666"/>
    <b v="0"/>
    <n v="67"/>
    <b v="0"/>
    <n v="199727"/>
    <n v="0"/>
    <n v="0"/>
    <n v="0"/>
    <n v="0"/>
    <m/>
  </r>
  <r>
    <n v="171"/>
    <s v="2021-02-16"/>
    <x v="11"/>
    <s v="instagram_tier1"/>
    <x v="2"/>
    <x v="1"/>
    <n v="9034945"/>
    <n v="4319200"/>
    <n v="143680"/>
    <n v="5.0000000000000001E-3"/>
    <n v="21596"/>
    <b v="0"/>
    <n v="432"/>
    <b v="0"/>
    <n v="34"/>
    <b v="0"/>
    <n v="171972"/>
    <n v="0"/>
    <n v="0"/>
    <n v="0"/>
    <n v="0"/>
    <m/>
  </r>
  <r>
    <n v="177"/>
    <s v="2021-02-17"/>
    <x v="18"/>
    <s v="facebook_tier1"/>
    <x v="1"/>
    <x v="1"/>
    <n v="349043"/>
    <n v="4320600"/>
    <n v="489831"/>
    <n v="5.0000000000000001E-3"/>
    <n v="21603"/>
    <b v="0"/>
    <n v="652"/>
    <b v="0"/>
    <n v="86"/>
    <b v="0"/>
    <n v="428366"/>
    <n v="0"/>
    <n v="0"/>
    <n v="0"/>
    <n v="0"/>
    <m/>
  </r>
  <r>
    <n v="180"/>
    <s v="2021-02-17"/>
    <x v="18"/>
    <s v="google_wide"/>
    <x v="3"/>
    <x v="2"/>
    <n v="127823"/>
    <n v="4319200"/>
    <n v="180223"/>
    <n v="5.0000000000000001E-3"/>
    <n v="21596"/>
    <b v="0"/>
    <n v="442"/>
    <b v="0"/>
    <n v="44"/>
    <b v="0"/>
    <n v="136708"/>
    <n v="0"/>
    <n v="0"/>
    <n v="0"/>
    <n v="0"/>
    <m/>
  </r>
  <r>
    <n v="188"/>
    <s v="2021-02-18"/>
    <x v="5"/>
    <s v="facebook_tier1"/>
    <x v="1"/>
    <x v="1"/>
    <n v="349043"/>
    <n v="4798200"/>
    <n v="30892.2"/>
    <n v="5.0000000000000001E-3"/>
    <n v="23991"/>
    <b v="0"/>
    <n v="61"/>
    <b v="0"/>
    <n v="6"/>
    <b v="0"/>
    <n v="25686"/>
    <n v="0"/>
    <n v="0"/>
    <n v="0"/>
    <n v="0"/>
    <m/>
  </r>
  <r>
    <n v="200"/>
    <s v="2021-02-19"/>
    <x v="22"/>
    <s v="facebOOK_tier2"/>
    <x v="5"/>
    <x v="1"/>
    <n v="348934"/>
    <n v="7260800"/>
    <n v="415376"/>
    <n v="5.0000000000000001E-3"/>
    <n v="36304"/>
    <b v="0"/>
    <n v="726"/>
    <b v="0"/>
    <n v="58"/>
    <b v="0"/>
    <n v="288898"/>
    <n v="0"/>
    <n v="0"/>
    <n v="0"/>
    <n v="0"/>
    <m/>
  </r>
  <r>
    <n v="205"/>
    <s v="2021-02-19"/>
    <x v="22"/>
    <s v="instagram_tier2"/>
    <x v="4"/>
    <x v="1"/>
    <n v="983498"/>
    <n v="11222000"/>
    <n v="9908.98"/>
    <n v="5.0000000000000001E-3"/>
    <n v="56110"/>
    <b v="0"/>
    <n v="185"/>
    <b v="0"/>
    <n v="3"/>
    <b v="0"/>
    <n v="3621"/>
    <n v="0"/>
    <n v="0"/>
    <n v="0"/>
    <n v="0"/>
    <m/>
  </r>
  <r>
    <n v="211"/>
    <s v="2021-02-20"/>
    <x v="24"/>
    <s v="facebOOK_tier2"/>
    <x v="5"/>
    <x v="1"/>
    <n v="348934"/>
    <n v="7918600"/>
    <n v="455831"/>
    <n v="5.0000000000000001E-3"/>
    <n v="39593"/>
    <b v="0"/>
    <n v="853"/>
    <b v="0"/>
    <n v="68"/>
    <b v="0"/>
    <n v="387124"/>
    <n v="0"/>
    <n v="0"/>
    <n v="0"/>
    <n v="0"/>
    <m/>
  </r>
  <r>
    <n v="213"/>
    <s v="2021-02-20"/>
    <x v="24"/>
    <s v="google_wide"/>
    <x v="3"/>
    <x v="2"/>
    <n v="127823"/>
    <n v="5762000"/>
    <n v="435770"/>
    <n v="5.0000000000000001E-3"/>
    <n v="28810"/>
    <b v="0"/>
    <n v="732"/>
    <b v="0"/>
    <n v="96"/>
    <b v="0"/>
    <n v="253440"/>
    <n v="0"/>
    <n v="0"/>
    <n v="0"/>
    <n v="0"/>
    <m/>
  </r>
  <r>
    <n v="216"/>
    <s v="2021-02-20"/>
    <x v="24"/>
    <s v="instagram_tier2"/>
    <x v="4"/>
    <x v="1"/>
    <n v="983498"/>
    <n v="12239000"/>
    <n v="150065"/>
    <n v="5.0000000000000001E-3"/>
    <n v="61195"/>
    <b v="0"/>
    <n v="1224"/>
    <b v="0"/>
    <n v="48"/>
    <b v="0"/>
    <n v="73392"/>
    <n v="0"/>
    <n v="0"/>
    <n v="0"/>
    <n v="0"/>
    <m/>
  </r>
  <r>
    <n v="221"/>
    <s v="2021-02-21"/>
    <x v="6"/>
    <s v="facebook_tier1"/>
    <x v="1"/>
    <x v="1"/>
    <n v="349043"/>
    <n v="478600"/>
    <n v="38596.699999999997"/>
    <n v="5.0000000000000001E-3"/>
    <n v="2393"/>
    <b v="0"/>
    <n v="66"/>
    <b v="0"/>
    <n v="7"/>
    <b v="0"/>
    <n v="31094"/>
    <n v="0"/>
    <n v="0"/>
    <n v="0"/>
    <n v="0"/>
    <m/>
  </r>
  <r>
    <n v="224"/>
    <s v="2021-02-21"/>
    <x v="6"/>
    <s v="google_wide"/>
    <x v="3"/>
    <x v="2"/>
    <n v="127823"/>
    <n v="478400"/>
    <n v="17476.2"/>
    <n v="5.0000000000000001E-3"/>
    <n v="2392"/>
    <b v="0"/>
    <n v="48"/>
    <b v="0"/>
    <n v="5"/>
    <b v="0"/>
    <n v="12910"/>
    <n v="0"/>
    <n v="0"/>
    <n v="0"/>
    <n v="0"/>
    <m/>
  </r>
  <r>
    <n v="235"/>
    <s v="2021-02-22"/>
    <x v="0"/>
    <s v="google_wide"/>
    <x v="3"/>
    <x v="2"/>
    <n v="127823"/>
    <n v="959600"/>
    <n v="12348.3"/>
    <n v="5.0000000000000001E-3"/>
    <n v="4798"/>
    <b v="0"/>
    <n v="39"/>
    <b v="0"/>
    <n v="4"/>
    <b v="0"/>
    <n v="11924"/>
    <n v="0"/>
    <n v="0"/>
    <n v="0"/>
    <n v="0"/>
    <m/>
  </r>
  <r>
    <n v="246"/>
    <s v="2021-02-23"/>
    <x v="17"/>
    <s v="google_wide"/>
    <x v="3"/>
    <x v="2"/>
    <n v="127823"/>
    <n v="241000"/>
    <n v="12581.6"/>
    <n v="5.0000000000000001E-3"/>
    <n v="1205"/>
    <b v="0"/>
    <n v="24"/>
    <b v="0"/>
    <n v="3"/>
    <b v="0"/>
    <n v="8943"/>
    <n v="0"/>
    <n v="0"/>
    <n v="0"/>
    <n v="0"/>
    <m/>
  </r>
  <r>
    <n v="249"/>
    <s v="2021-02-23"/>
    <x v="17"/>
    <s v="instagram_tier2"/>
    <x v="4"/>
    <x v="1"/>
    <n v="983498"/>
    <n v="512000"/>
    <n v="4285.4399999999996"/>
    <n v="5.0000000000000001E-3"/>
    <n v="2560"/>
    <b v="0"/>
    <n v="51"/>
    <b v="0"/>
    <n v="2"/>
    <b v="0"/>
    <n v="2934"/>
    <n v="0"/>
    <n v="0"/>
    <n v="0"/>
    <n v="0"/>
    <m/>
  </r>
  <r>
    <n v="265"/>
    <s v="2021-02-25"/>
    <x v="9"/>
    <s v="facebook_tier1"/>
    <x v="1"/>
    <x v="1"/>
    <n v="349043"/>
    <n v="94600"/>
    <n v="11230.2"/>
    <n v="5.0000000000000001E-3"/>
    <n v="473"/>
    <b v="0"/>
    <n v="15"/>
    <b v="0"/>
    <n v="2"/>
    <b v="0"/>
    <n v="10104"/>
    <n v="0"/>
    <n v="0"/>
    <n v="0"/>
    <n v="0"/>
    <m/>
  </r>
  <r>
    <n v="266"/>
    <s v="2021-02-25"/>
    <x v="9"/>
    <s v="facebOOK_tier2"/>
    <x v="5"/>
    <x v="1"/>
    <n v="348934"/>
    <n v="131400"/>
    <n v="10357"/>
    <n v="5.0000000000000001E-3"/>
    <n v="657"/>
    <b v="0"/>
    <n v="13"/>
    <b v="0"/>
    <n v="2"/>
    <b v="0"/>
    <n v="9962"/>
    <n v="0"/>
    <n v="0"/>
    <n v="0"/>
    <n v="0"/>
    <m/>
  </r>
  <r>
    <n v="270"/>
    <s v="2021-02-25"/>
    <x v="9"/>
    <s v="instagram_tier1"/>
    <x v="2"/>
    <x v="1"/>
    <n v="9034945"/>
    <n v="106000"/>
    <n v="2304.0100000000002"/>
    <n v="5.0000000000000001E-3"/>
    <n v="530"/>
    <b v="0"/>
    <n v="6"/>
    <b v="0"/>
    <n v="1"/>
    <b v="0"/>
    <n v="5981"/>
    <n v="0"/>
    <n v="0"/>
    <n v="0"/>
    <n v="0"/>
    <m/>
  </r>
  <r>
    <n v="279"/>
    <s v="2021-02-26"/>
    <x v="7"/>
    <s v="google_wide"/>
    <x v="3"/>
    <x v="2"/>
    <n v="127823"/>
    <n v="240600"/>
    <n v="4453.1000000000004"/>
    <n v="5.0000000000000001E-3"/>
    <n v="1203"/>
    <b v="0"/>
    <n v="11"/>
    <b v="0"/>
    <n v="1"/>
    <b v="0"/>
    <n v="2283"/>
    <n v="0"/>
    <n v="0"/>
    <n v="0"/>
    <n v="0"/>
    <m/>
  </r>
  <r>
    <n v="282"/>
    <s v="2021-02-26"/>
    <x v="7"/>
    <s v="instagram_tier2"/>
    <x v="4"/>
    <x v="1"/>
    <n v="983498"/>
    <n v="508600"/>
    <n v="2403.54"/>
    <n v="5.0000000000000001E-3"/>
    <n v="2543"/>
    <b v="0"/>
    <n v="73"/>
    <b v="0"/>
    <n v="1"/>
    <b v="0"/>
    <n v="1981"/>
    <n v="0"/>
    <n v="0"/>
    <n v="0"/>
    <n v="0"/>
    <m/>
  </r>
  <r>
    <n v="288"/>
    <s v="2021-02-27"/>
    <x v="14"/>
    <s v="facebOOK_tier2"/>
    <x v="5"/>
    <x v="1"/>
    <n v="348934"/>
    <n v="66400"/>
    <n v="3235.77"/>
    <n v="5.0000000000000001E-3"/>
    <n v="332"/>
    <b v="0"/>
    <n v="13"/>
    <b v="0"/>
    <n v="0"/>
    <b v="0"/>
    <n v="0"/>
    <n v="0"/>
    <n v="0"/>
    <n v="0"/>
    <n v="0"/>
    <m/>
  </r>
  <r>
    <n v="298"/>
    <s v="2021-02-28"/>
    <x v="8"/>
    <s v="facebook_tier1"/>
    <x v="1"/>
    <x v="1"/>
    <n v="349043"/>
    <n v="97200"/>
    <n v="6440.5"/>
    <n v="5.0000000000000001E-3"/>
    <n v="486"/>
    <b v="0"/>
    <n v="11"/>
    <b v="0"/>
    <n v="1"/>
    <b v="0"/>
    <n v="4981"/>
    <n v="0"/>
    <n v="0"/>
    <n v="0"/>
    <n v="0"/>
    <m/>
  </r>
  <r>
    <n v="299"/>
    <s v="2021-02-28"/>
    <x v="8"/>
    <s v="facebOOK_tier2"/>
    <x v="5"/>
    <x v="1"/>
    <n v="348934"/>
    <n v="132200"/>
    <n v="8665.5499999999993"/>
    <n v="5.0000000000000001E-3"/>
    <n v="661"/>
    <b v="0"/>
    <n v="13"/>
    <b v="0"/>
    <n v="1"/>
    <b v="0"/>
    <n v="5509"/>
    <n v="0"/>
    <n v="0"/>
    <n v="0"/>
    <n v="0"/>
    <m/>
  </r>
  <r>
    <n v="254"/>
    <s v="2021-02-24"/>
    <x v="20"/>
    <s v="facebook_tier1"/>
    <x v="1"/>
    <x v="1"/>
    <n v="349043"/>
    <n v="479596"/>
    <n v="94564.2"/>
    <n v="5.0208925845920318E-3"/>
    <n v="2408"/>
    <b v="0"/>
    <n v="93"/>
    <b v="0"/>
    <n v="15"/>
    <b v="0"/>
    <n v="81825"/>
    <n v="0"/>
    <n v="0"/>
    <n v="0"/>
    <n v="0"/>
    <m/>
  </r>
  <r>
    <n v="122"/>
    <s v="2021-02-12"/>
    <x v="21"/>
    <s v="facebook_tier1"/>
    <x v="1"/>
    <x v="1"/>
    <n v="349043"/>
    <n v="1804868"/>
    <n v="110004"/>
    <n v="5.3228269324958949E-3"/>
    <n v="9607"/>
    <b v="0"/>
    <n v="192"/>
    <b v="0"/>
    <n v="23"/>
    <b v="0"/>
    <n v="96163"/>
    <n v="0"/>
    <n v="0"/>
    <n v="0"/>
    <n v="0"/>
    <m/>
  </r>
  <r>
    <n v="83"/>
    <s v="2021-02-08"/>
    <x v="23"/>
    <s v="instagram_tier1"/>
    <x v="2"/>
    <x v="1"/>
    <n v="9034945"/>
    <n v="472836"/>
    <n v="330.76"/>
    <n v="5.6890761278752039E-3"/>
    <n v="2690"/>
    <b v="0"/>
    <n v="1"/>
    <b v="0"/>
    <n v="0"/>
    <b v="0"/>
    <n v="0"/>
    <n v="0"/>
    <n v="0"/>
    <n v="0"/>
    <n v="0"/>
    <m/>
  </r>
  <r>
    <n v="114"/>
    <s v="2021-02-11"/>
    <x v="25"/>
    <s v="google_wide"/>
    <x v="3"/>
    <x v="2"/>
    <n v="127823"/>
    <n v="1254537"/>
    <n v="51422.5"/>
    <n v="5.7375748981496758E-3"/>
    <n v="7198"/>
    <b v="0"/>
    <n v="144"/>
    <b v="0"/>
    <n v="14"/>
    <b v="0"/>
    <n v="41986"/>
    <n v="0"/>
    <n v="0"/>
    <n v="0"/>
    <n v="0"/>
    <m/>
  </r>
  <r>
    <n v="144"/>
    <s v="2021-02-14"/>
    <x v="26"/>
    <s v="facebook_tier1"/>
    <x v="1"/>
    <x v="1"/>
    <n v="349043"/>
    <n v="2452315"/>
    <n v="60244.9"/>
    <n v="5.8744492448971689E-3"/>
    <n v="14406"/>
    <b v="0"/>
    <n v="110"/>
    <b v="0"/>
    <n v="14"/>
    <b v="0"/>
    <n v="63560"/>
    <n v="0"/>
    <n v="0"/>
    <n v="0"/>
    <n v="0"/>
    <m/>
  </r>
  <r>
    <n v="90"/>
    <s v="2021-02-09"/>
    <x v="13"/>
    <s v="facebOOK_tier2"/>
    <x v="5"/>
    <x v="1"/>
    <n v="348934"/>
    <n v="555116"/>
    <n v="62119.4"/>
    <n v="5.9501077252322038E-3"/>
    <n v="3303"/>
    <b v="0"/>
    <n v="96"/>
    <b v="0"/>
    <n v="11"/>
    <b v="0"/>
    <n v="54791"/>
    <n v="0"/>
    <n v="0"/>
    <n v="0"/>
    <n v="0"/>
    <m/>
  </r>
  <r>
    <n v="150"/>
    <s v="2021-02-14"/>
    <x v="26"/>
    <s v="instagram_tier2"/>
    <x v="4"/>
    <x v="1"/>
    <n v="983498"/>
    <n v="5130500"/>
    <n v="218228"/>
    <n v="5.9647207874476173E-3"/>
    <n v="30602"/>
    <b v="0"/>
    <n v="935"/>
    <b v="0"/>
    <n v="54"/>
    <b v="0"/>
    <n v="119718"/>
    <n v="0"/>
    <n v="0"/>
    <n v="0"/>
    <n v="0"/>
    <m/>
  </r>
  <r>
    <n v="103"/>
    <s v="2021-02-10"/>
    <x v="19"/>
    <s v="google_wide"/>
    <x v="3"/>
    <x v="2"/>
    <n v="127823"/>
    <n v="797238"/>
    <n v="67577.8"/>
    <n v="6.0170237745817432E-3"/>
    <n v="4797"/>
    <b v="0"/>
    <n v="154"/>
    <b v="0"/>
    <n v="19"/>
    <b v="0"/>
    <n v="42598"/>
    <n v="0"/>
    <n v="0"/>
    <n v="0"/>
    <n v="0"/>
    <m/>
  </r>
  <r>
    <n v="222"/>
    <s v="2021-02-21"/>
    <x v="6"/>
    <s v="facebOOK_tier2"/>
    <x v="5"/>
    <x v="1"/>
    <n v="348934"/>
    <n v="543787"/>
    <n v="39481"/>
    <n v="6.0667136213259972E-3"/>
    <n v="3299"/>
    <b v="0"/>
    <n v="113"/>
    <b v="0"/>
    <n v="6"/>
    <b v="0"/>
    <n v="29538"/>
    <n v="0"/>
    <n v="0"/>
    <n v="0"/>
    <n v="0"/>
    <m/>
  </r>
  <r>
    <n v="290"/>
    <s v="2021-02-27"/>
    <x v="14"/>
    <s v="google_wide"/>
    <x v="3"/>
    <x v="2"/>
    <n v="127823"/>
    <n v="40004"/>
    <n v="1487.24"/>
    <n v="6.0743925607439258E-3"/>
    <n v="243"/>
    <b v="0"/>
    <n v="5"/>
    <b v="0"/>
    <n v="0"/>
    <b v="0"/>
    <n v="0"/>
    <n v="0"/>
    <n v="0"/>
    <n v="0"/>
    <n v="0"/>
    <m/>
  </r>
  <r>
    <n v="174"/>
    <s v="2021-02-16"/>
    <x v="11"/>
    <s v="facebook_lal"/>
    <x v="6"/>
    <x v="1"/>
    <n v="544756"/>
    <n v="1576818"/>
    <n v="345629"/>
    <n v="6.086307994962006E-3"/>
    <n v="9597"/>
    <b v="0"/>
    <n v="292"/>
    <b v="0"/>
    <n v="39"/>
    <b v="0"/>
    <n v="25857"/>
    <n v="0"/>
    <n v="0"/>
    <n v="0"/>
    <n v="0"/>
    <m/>
  </r>
  <r>
    <n v="175"/>
    <s v="2021-02-16"/>
    <x v="11"/>
    <s v="instagram_blogger"/>
    <x v="7"/>
    <x v="3"/>
    <n v="374754"/>
    <n v="3937010"/>
    <n v="620903"/>
    <n v="6.0944727089847373E-3"/>
    <n v="23994"/>
    <b v="0"/>
    <n v="833"/>
    <b v="0"/>
    <n v="160"/>
    <b v="0"/>
    <n v="939360"/>
    <n v="0"/>
    <n v="0"/>
    <n v="0"/>
    <n v="0"/>
    <m/>
  </r>
  <r>
    <n v="104"/>
    <s v="2021-02-10"/>
    <x v="19"/>
    <s v="youtube_blogger"/>
    <x v="8"/>
    <x v="3"/>
    <n v="10934"/>
    <n v="1469962"/>
    <n v="19831.400000000001"/>
    <n v="6.121246671682669E-3"/>
    <n v="8998"/>
    <b v="0"/>
    <n v="80"/>
    <b v="0"/>
    <n v="16"/>
    <b v="0"/>
    <n v="130768"/>
    <n v="0"/>
    <n v="0"/>
    <n v="0"/>
    <n v="0"/>
    <m/>
  </r>
  <r>
    <n v="292"/>
    <s v="2021-02-27"/>
    <x v="14"/>
    <s v="instagram_tier1"/>
    <x v="2"/>
    <x v="1"/>
    <n v="9034945"/>
    <n v="44112"/>
    <n v="1832.16"/>
    <n v="6.234131302140007E-3"/>
    <n v="275"/>
    <b v="0"/>
    <n v="6"/>
    <b v="0"/>
    <n v="1"/>
    <b v="0"/>
    <n v="5981"/>
    <n v="0"/>
    <n v="0"/>
    <n v="0"/>
    <n v="0"/>
    <m/>
  </r>
  <r>
    <n v="37"/>
    <s v="2021-02-04"/>
    <x v="10"/>
    <s v="google_wide"/>
    <x v="3"/>
    <x v="2"/>
    <n v="127823"/>
    <n v="1531679"/>
    <n v="60108.800000000003"/>
    <n v="6.2617558901049107E-3"/>
    <n v="9591"/>
    <b v="0"/>
    <n v="234"/>
    <b v="0"/>
    <n v="17"/>
    <b v="0"/>
    <n v="58990"/>
    <n v="0"/>
    <n v="0"/>
    <n v="0"/>
    <n v="0"/>
    <m/>
  </r>
  <r>
    <n v="97"/>
    <s v="2021-02-09"/>
    <x v="13"/>
    <s v="facebook_lal"/>
    <x v="6"/>
    <x v="1"/>
    <n v="544756"/>
    <n v="189854"/>
    <n v="29091.4"/>
    <n v="6.3101119807852353E-3"/>
    <n v="1198"/>
    <b v="0"/>
    <n v="24"/>
    <b v="0"/>
    <n v="3"/>
    <b v="0"/>
    <n v="2943"/>
    <n v="0"/>
    <n v="0"/>
    <n v="0"/>
    <n v="0"/>
    <m/>
  </r>
  <r>
    <n v="225"/>
    <s v="2021-02-21"/>
    <x v="6"/>
    <s v="youtube_blogger"/>
    <x v="8"/>
    <x v="3"/>
    <n v="10934"/>
    <n v="713896"/>
    <n v="30801"/>
    <n v="6.3132445062025842E-3"/>
    <n v="4507"/>
    <b v="0"/>
    <n v="90"/>
    <b v="0"/>
    <n v="20"/>
    <b v="0"/>
    <n v="159620"/>
    <n v="0"/>
    <n v="0"/>
    <n v="0"/>
    <n v="0"/>
    <m/>
  </r>
  <r>
    <n v="307"/>
    <s v="2021-02-28"/>
    <x v="8"/>
    <s v="instagram_blogger"/>
    <x v="7"/>
    <x v="3"/>
    <n v="374754"/>
    <n v="94058"/>
    <n v="4845.6499999999996"/>
    <n v="6.3152522911395096E-3"/>
    <n v="594"/>
    <b v="0"/>
    <n v="12"/>
    <b v="0"/>
    <n v="1"/>
    <b v="0"/>
    <n v="5008"/>
    <n v="0"/>
    <n v="0"/>
    <n v="0"/>
    <n v="0"/>
    <m/>
  </r>
  <r>
    <n v="61"/>
    <s v="2021-02-06"/>
    <x v="4"/>
    <s v="instagram_tier1"/>
    <x v="2"/>
    <x v="1"/>
    <n v="9034945"/>
    <n v="425467"/>
    <n v="3661.53"/>
    <n v="6.3342162846942301E-3"/>
    <n v="2695"/>
    <b v="0"/>
    <n v="14"/>
    <b v="0"/>
    <n v="1"/>
    <b v="0"/>
    <n v="5958"/>
    <n v="0"/>
    <n v="0"/>
    <n v="0"/>
    <n v="0"/>
    <m/>
  </r>
  <r>
    <n v="293"/>
    <s v="2021-02-27"/>
    <x v="14"/>
    <s v="instagram_tier2"/>
    <x v="4"/>
    <x v="1"/>
    <n v="983498"/>
    <n v="78799"/>
    <n v="254.14"/>
    <n v="6.3833297376870261E-3"/>
    <n v="503"/>
    <b v="0"/>
    <n v="3"/>
    <b v="0"/>
    <n v="0"/>
    <b v="0"/>
    <n v="0"/>
    <n v="0"/>
    <n v="0"/>
    <n v="0"/>
    <n v="0"/>
    <m/>
  </r>
  <r>
    <n v="125"/>
    <s v="2021-02-12"/>
    <x v="21"/>
    <s v="google_wide"/>
    <x v="3"/>
    <x v="2"/>
    <n v="127823"/>
    <n v="1502383"/>
    <n v="86733.1"/>
    <n v="6.3931767066054395E-3"/>
    <n v="9605"/>
    <b v="0"/>
    <n v="192"/>
    <b v="0"/>
    <n v="19"/>
    <b v="0"/>
    <n v="56639"/>
    <n v="0"/>
    <n v="0"/>
    <n v="0"/>
    <n v="0"/>
    <m/>
  </r>
  <r>
    <n v="71"/>
    <s v="2021-02-07"/>
    <x v="12"/>
    <s v="youtube_blogger"/>
    <x v="8"/>
    <x v="3"/>
    <n v="10934"/>
    <n v="694624"/>
    <n v="31680.1"/>
    <n v="6.4855231031464506E-3"/>
    <n v="4505"/>
    <b v="0"/>
    <n v="82"/>
    <b v="0"/>
    <n v="15"/>
    <b v="0"/>
    <n v="119715"/>
    <n v="0"/>
    <n v="0"/>
    <n v="0"/>
    <n v="0"/>
    <m/>
  </r>
  <r>
    <n v="227"/>
    <s v="2021-02-21"/>
    <x v="6"/>
    <s v="instagram_tier2"/>
    <x v="4"/>
    <x v="1"/>
    <n v="983498"/>
    <n v="781353"/>
    <n v="12503.5"/>
    <n v="6.5322587870015221E-3"/>
    <n v="5104"/>
    <b v="0"/>
    <n v="102"/>
    <b v="0"/>
    <n v="4"/>
    <b v="0"/>
    <n v="7924"/>
    <n v="0"/>
    <n v="0"/>
    <n v="0"/>
    <n v="0"/>
    <m/>
  </r>
  <r>
    <n v="219"/>
    <s v="2021-02-20"/>
    <x v="24"/>
    <s v="instagram_blogger"/>
    <x v="7"/>
    <x v="3"/>
    <n v="374754"/>
    <n v="5497354"/>
    <n v="504576"/>
    <n v="6.5475135856268305E-3"/>
    <n v="35994"/>
    <b v="0"/>
    <n v="822"/>
    <b v="0"/>
    <n v="137"/>
    <b v="0"/>
    <n v="682397"/>
    <n v="0"/>
    <n v="0"/>
    <n v="0"/>
    <n v="0"/>
    <m/>
  </r>
  <r>
    <n v="82"/>
    <s v="2021-02-08"/>
    <x v="23"/>
    <s v="youtube_blogger"/>
    <x v="8"/>
    <x v="3"/>
    <n v="10934"/>
    <n v="685530"/>
    <n v="33892.6"/>
    <n v="6.5511356176972558E-3"/>
    <n v="4491"/>
    <b v="0"/>
    <n v="79"/>
    <b v="0"/>
    <n v="16"/>
    <b v="0"/>
    <n v="120176"/>
    <n v="0"/>
    <n v="0"/>
    <n v="0"/>
    <n v="0"/>
    <m/>
  </r>
  <r>
    <n v="156"/>
    <s v="2021-02-15"/>
    <x v="27"/>
    <s v="facebOOK_tier2"/>
    <x v="5"/>
    <x v="1"/>
    <n v="348934"/>
    <n v="3441545"/>
    <n v="593576"/>
    <n v="6.7129733884054984E-3"/>
    <n v="23103"/>
    <b v="0"/>
    <n v="694"/>
    <b v="0"/>
    <n v="81"/>
    <b v="0"/>
    <n v="403461"/>
    <n v="0"/>
    <n v="0"/>
    <n v="0"/>
    <n v="0"/>
    <m/>
  </r>
  <r>
    <n v="40"/>
    <s v="2021-02-04"/>
    <x v="10"/>
    <s v="instagram_tier2"/>
    <x v="4"/>
    <x v="1"/>
    <n v="983498"/>
    <n v="3008227"/>
    <n v="40119.199999999997"/>
    <n v="6.7787437583666389E-3"/>
    <n v="20392"/>
    <b v="0"/>
    <n v="408"/>
    <b v="0"/>
    <n v="12"/>
    <b v="0"/>
    <n v="23772"/>
    <n v="0"/>
    <n v="0"/>
    <n v="0"/>
    <n v="0"/>
    <m/>
  </r>
  <r>
    <n v="111"/>
    <s v="2021-02-11"/>
    <x v="25"/>
    <s v="facebook_tier1"/>
    <x v="1"/>
    <x v="1"/>
    <n v="349043"/>
    <n v="1061233"/>
    <n v="105681"/>
    <n v="6.7902147784699492E-3"/>
    <n v="7206"/>
    <b v="0"/>
    <n v="144"/>
    <b v="0"/>
    <n v="23"/>
    <b v="0"/>
    <n v="105225"/>
    <n v="0"/>
    <n v="0"/>
    <n v="0"/>
    <n v="0"/>
    <m/>
  </r>
  <r>
    <n v="75"/>
    <s v="2021-02-07"/>
    <x v="12"/>
    <s v="facebook_lal"/>
    <x v="6"/>
    <x v="1"/>
    <n v="544756"/>
    <n v="174221"/>
    <n v="10104.9"/>
    <n v="6.8705839135351074E-3"/>
    <n v="1197"/>
    <b v="0"/>
    <n v="6"/>
    <b v="0"/>
    <n v="1"/>
    <b v="0"/>
    <n v="981"/>
    <n v="0"/>
    <n v="0"/>
    <n v="0"/>
    <n v="0"/>
    <m/>
  </r>
  <r>
    <n v="79"/>
    <s v="2021-02-08"/>
    <x v="23"/>
    <s v="facebOOK_tier2"/>
    <x v="5"/>
    <x v="1"/>
    <n v="348934"/>
    <n v="472656"/>
    <n v="33752.800000000003"/>
    <n v="6.9606648386987572E-3"/>
    <n v="3290"/>
    <b v="0"/>
    <n v="66"/>
    <b v="0"/>
    <n v="5"/>
    <b v="0"/>
    <n v="28670"/>
    <n v="0"/>
    <n v="0"/>
    <n v="0"/>
    <n v="0"/>
    <m/>
  </r>
  <r>
    <n v="54"/>
    <s v="2021-02-05"/>
    <x v="16"/>
    <s v="instagram_blogger"/>
    <x v="7"/>
    <x v="3"/>
    <n v="374754"/>
    <n v="2153303"/>
    <n v="36431.699999999997"/>
    <n v="6.967435609387067E-3"/>
    <n v="15003"/>
    <b v="0"/>
    <n v="51"/>
    <b v="0"/>
    <n v="8"/>
    <b v="0"/>
    <n v="47816"/>
    <n v="0"/>
    <n v="0"/>
    <n v="0"/>
    <n v="0"/>
    <m/>
  </r>
  <r>
    <n v="134"/>
    <s v="2021-02-13"/>
    <x v="15"/>
    <s v="facebOOK_tier2"/>
    <x v="5"/>
    <x v="1"/>
    <n v="348934"/>
    <n v="2358224"/>
    <n v="325444"/>
    <n v="6.9993350928495342E-3"/>
    <n v="16506"/>
    <b v="0"/>
    <n v="655"/>
    <b v="0"/>
    <n v="52"/>
    <b v="0"/>
    <n v="262184"/>
    <n v="0"/>
    <n v="0"/>
    <n v="0"/>
    <n v="0"/>
    <m/>
  </r>
  <r>
    <n v="302"/>
    <s v="2021-02-28"/>
    <x v="8"/>
    <s v="youtube_blogger"/>
    <x v="8"/>
    <x v="3"/>
    <n v="10934"/>
    <n v="129025"/>
    <n v="9892.77"/>
    <n v="7.0451462894787834E-3"/>
    <n v="909"/>
    <b v="0"/>
    <n v="21"/>
    <b v="0"/>
    <n v="5"/>
    <b v="0"/>
    <n v="37450"/>
    <n v="0"/>
    <n v="0"/>
    <n v="0"/>
    <n v="0"/>
    <m/>
  </r>
  <r>
    <n v="189"/>
    <s v="2021-02-18"/>
    <x v="5"/>
    <s v="facebOOK_tier2"/>
    <x v="5"/>
    <x v="1"/>
    <n v="348934"/>
    <n v="4678356"/>
    <n v="373294"/>
    <n v="7.0544011614336322E-3"/>
    <n v="33003"/>
    <b v="0"/>
    <n v="1313"/>
    <b v="0"/>
    <n v="51"/>
    <b v="0"/>
    <n v="237711"/>
    <n v="0"/>
    <n v="0"/>
    <n v="0"/>
    <n v="0"/>
    <m/>
  </r>
  <r>
    <n v="276"/>
    <s v="2021-02-26"/>
    <x v="7"/>
    <s v="facebook_tier1"/>
    <x v="1"/>
    <x v="1"/>
    <n v="349043"/>
    <n v="168408"/>
    <n v="19887.7"/>
    <n v="7.1671179516412525E-3"/>
    <n v="1207"/>
    <b v="0"/>
    <n v="39"/>
    <b v="0"/>
    <n v="4"/>
    <b v="0"/>
    <n v="22488"/>
    <n v="0"/>
    <n v="0"/>
    <n v="0"/>
    <n v="0"/>
    <m/>
  </r>
  <r>
    <n v="57"/>
    <s v="2021-02-06"/>
    <x v="4"/>
    <s v="facebOOK_tier2"/>
    <x v="5"/>
    <x v="1"/>
    <n v="348934"/>
    <n v="448321"/>
    <n v="62272.6"/>
    <n v="7.3652583751374571E-3"/>
    <n v="3302"/>
    <b v="0"/>
    <n v="108"/>
    <b v="0"/>
    <n v="9"/>
    <b v="0"/>
    <n v="44829"/>
    <n v="0"/>
    <n v="0"/>
    <n v="0"/>
    <n v="0"/>
    <m/>
  </r>
  <r>
    <n v="153"/>
    <s v="2021-02-14"/>
    <x v="26"/>
    <s v="instagram_blogger"/>
    <x v="7"/>
    <x v="3"/>
    <n v="374754"/>
    <n v="2429465"/>
    <n v="205870"/>
    <n v="7.4082153889848176E-3"/>
    <n v="17998"/>
    <b v="0"/>
    <n v="354"/>
    <b v="0"/>
    <n v="53"/>
    <b v="0"/>
    <n v="306817"/>
    <n v="0"/>
    <n v="0"/>
    <n v="0"/>
    <n v="0"/>
    <m/>
  </r>
  <r>
    <n v="2"/>
    <s v="2021-02-01"/>
    <x v="1"/>
    <s v="facebOOK_tier2"/>
    <x v="5"/>
    <x v="1"/>
    <n v="348934"/>
    <n v="220688"/>
    <n v="16300.2"/>
    <n v="7.4313057347930112E-3"/>
    <n v="1640"/>
    <b v="0"/>
    <n v="48"/>
    <b v="0"/>
    <n v="3"/>
    <b v="0"/>
    <n v="14962"/>
    <n v="0"/>
    <n v="0"/>
    <n v="0"/>
    <n v="0"/>
    <m/>
  </r>
  <r>
    <n v="108"/>
    <s v="2021-02-10"/>
    <x v="19"/>
    <s v="facebook_lal"/>
    <x v="6"/>
    <x v="1"/>
    <n v="544756"/>
    <n v="321713"/>
    <n v="131236"/>
    <n v="7.4476318955093513E-3"/>
    <n v="2396"/>
    <b v="0"/>
    <n v="88"/>
    <b v="0"/>
    <n v="15"/>
    <b v="0"/>
    <n v="14715"/>
    <n v="0"/>
    <n v="0"/>
    <n v="0"/>
    <n v="0"/>
    <m/>
  </r>
  <r>
    <n v="247"/>
    <s v="2021-02-23"/>
    <x v="17"/>
    <s v="youtube_blogger"/>
    <x v="8"/>
    <x v="3"/>
    <n v="10934"/>
    <n v="297609"/>
    <n v="16343"/>
    <n v="7.5468147804669886E-3"/>
    <n v="2246"/>
    <b v="0"/>
    <n v="45"/>
    <b v="0"/>
    <n v="8"/>
    <b v="0"/>
    <n v="63848"/>
    <n v="0"/>
    <n v="0"/>
    <n v="0"/>
    <n v="0"/>
    <m/>
  </r>
  <r>
    <n v="15"/>
    <s v="2021-02-02"/>
    <x v="2"/>
    <s v="google_wide"/>
    <x v="3"/>
    <x v="2"/>
    <n v="127823"/>
    <n v="314704"/>
    <n v="15153.6"/>
    <n v="7.6103258935380546E-3"/>
    <n v="2395"/>
    <b v="0"/>
    <n v="39"/>
    <b v="0"/>
    <n v="4"/>
    <b v="0"/>
    <n v="12540"/>
    <n v="0"/>
    <n v="0"/>
    <n v="0"/>
    <n v="0"/>
    <m/>
  </r>
  <r>
    <n v="163"/>
    <s v="2021-02-15"/>
    <x v="27"/>
    <s v="facebook_lal"/>
    <x v="6"/>
    <x v="1"/>
    <n v="544756"/>
    <n v="1093435"/>
    <n v="6587.76"/>
    <n v="7.6840415754022874E-3"/>
    <n v="8402"/>
    <b v="0"/>
    <n v="4"/>
    <b v="0"/>
    <n v="1"/>
    <b v="0"/>
    <n v="741"/>
    <n v="0"/>
    <n v="0"/>
    <n v="0"/>
    <n v="0"/>
    <m/>
  </r>
  <r>
    <n v="281"/>
    <s v="2021-02-26"/>
    <x v="7"/>
    <s v="instagram_tier1"/>
    <x v="2"/>
    <x v="1"/>
    <n v="9034945"/>
    <n v="174375"/>
    <n v="12592.4"/>
    <n v="7.6960573476702512E-3"/>
    <n v="1342"/>
    <b v="0"/>
    <n v="27"/>
    <b v="0"/>
    <n v="4"/>
    <b v="0"/>
    <n v="26556"/>
    <n v="0"/>
    <n v="0"/>
    <n v="0"/>
    <n v="0"/>
    <m/>
  </r>
  <r>
    <n v="56"/>
    <s v="2021-02-06"/>
    <x v="4"/>
    <s v="facebook_tier1"/>
    <x v="1"/>
    <x v="1"/>
    <n v="349043"/>
    <n v="310024"/>
    <n v="40407.9"/>
    <n v="7.7123061440404614E-3"/>
    <n v="2391"/>
    <b v="0"/>
    <n v="76"/>
    <b v="0"/>
    <n v="9"/>
    <b v="0"/>
    <n v="46152"/>
    <n v="0"/>
    <n v="0"/>
    <n v="0"/>
    <n v="0"/>
    <m/>
  </r>
  <r>
    <n v="101"/>
    <s v="2021-02-10"/>
    <x v="19"/>
    <s v="facebOOK_tier2"/>
    <x v="5"/>
    <x v="1"/>
    <n v="348934"/>
    <n v="852250"/>
    <n v="43865.9"/>
    <n v="7.7395130536814316E-3"/>
    <n v="6596"/>
    <b v="0"/>
    <n v="132"/>
    <b v="0"/>
    <n v="7"/>
    <b v="0"/>
    <n v="34867"/>
    <n v="0"/>
    <n v="0"/>
    <n v="0"/>
    <n v="0"/>
    <m/>
  </r>
  <r>
    <n v="285"/>
    <s v="2021-02-26"/>
    <x v="7"/>
    <s v="instagram_blogger"/>
    <x v="7"/>
    <x v="3"/>
    <n v="374754"/>
    <n v="192489"/>
    <n v="15596"/>
    <n v="7.777067780496548E-3"/>
    <n v="1497"/>
    <b v="0"/>
    <n v="34"/>
    <b v="0"/>
    <n v="5"/>
    <b v="0"/>
    <n v="25205"/>
    <n v="0"/>
    <n v="0"/>
    <n v="0"/>
    <n v="0"/>
    <m/>
  </r>
  <r>
    <n v="268"/>
    <s v="2021-02-25"/>
    <x v="9"/>
    <s v="google_wide"/>
    <x v="3"/>
    <x v="2"/>
    <n v="127823"/>
    <n v="61867"/>
    <n v="9472.2199999999993"/>
    <n v="7.8717248290688085E-3"/>
    <n v="487"/>
    <b v="0"/>
    <n v="19"/>
    <b v="0"/>
    <n v="2"/>
    <b v="0"/>
    <n v="5730"/>
    <n v="0"/>
    <n v="0"/>
    <n v="0"/>
    <n v="0"/>
    <m/>
  </r>
  <r>
    <n v="232"/>
    <s v="2021-02-22"/>
    <x v="0"/>
    <s v="facebook_tier1"/>
    <x v="1"/>
    <x v="1"/>
    <n v="349043"/>
    <n v="605386"/>
    <n v="59710"/>
    <n v="7.9321292530715945E-3"/>
    <n v="4802"/>
    <b v="0"/>
    <n v="96"/>
    <b v="0"/>
    <n v="12"/>
    <b v="0"/>
    <n v="67632"/>
    <n v="0"/>
    <n v="0"/>
    <n v="0"/>
    <n v="0"/>
    <m/>
  </r>
  <r>
    <n v="185"/>
    <s v="2021-02-17"/>
    <x v="18"/>
    <s v="facebook_lal"/>
    <x v="6"/>
    <x v="1"/>
    <n v="544756"/>
    <n v="1361187"/>
    <n v="291254"/>
    <n v="7.9415980317179054E-3"/>
    <n v="10810"/>
    <b v="0"/>
    <n v="216"/>
    <b v="0"/>
    <n v="32"/>
    <b v="0"/>
    <n v="31392"/>
    <n v="0"/>
    <n v="0"/>
    <n v="0"/>
    <n v="0"/>
    <m/>
  </r>
  <r>
    <n v="133"/>
    <s v="2021-02-13"/>
    <x v="15"/>
    <s v="facebook_tier1"/>
    <x v="1"/>
    <x v="1"/>
    <n v="349043"/>
    <n v="1496322"/>
    <n v="308692"/>
    <n v="8.0129811631453659E-3"/>
    <n v="11990"/>
    <b v="0"/>
    <n v="397"/>
    <b v="0"/>
    <n v="60"/>
    <b v="0"/>
    <n v="341880"/>
    <n v="0"/>
    <n v="0"/>
    <n v="0"/>
    <n v="0"/>
    <m/>
  </r>
  <r>
    <n v="262"/>
    <s v="2021-02-24"/>
    <x v="20"/>
    <s v="facebook_lal"/>
    <x v="6"/>
    <x v="1"/>
    <n v="544756"/>
    <n v="148794"/>
    <n v="48796.6"/>
    <n v="8.0379585198327892E-3"/>
    <n v="1196"/>
    <b v="0"/>
    <n v="38"/>
    <b v="0"/>
    <n v="6"/>
    <b v="0"/>
    <n v="8178"/>
    <n v="0"/>
    <n v="0"/>
    <n v="0"/>
    <n v="0"/>
    <m/>
  </r>
  <r>
    <n v="4"/>
    <s v="2021-02-01"/>
    <x v="1"/>
    <s v="google_wide"/>
    <x v="3"/>
    <x v="2"/>
    <n v="127823"/>
    <n v="147038"/>
    <n v="6037"/>
    <n v="8.1339517675702872E-3"/>
    <n v="1196"/>
    <b v="0"/>
    <n v="24"/>
    <b v="0"/>
    <n v="1"/>
    <b v="0"/>
    <n v="2114"/>
    <n v="0"/>
    <n v="0"/>
    <n v="0"/>
    <n v="0"/>
    <m/>
  </r>
  <r>
    <n v="39"/>
    <s v="2021-02-04"/>
    <x v="10"/>
    <s v="instagram_tier1"/>
    <x v="2"/>
    <x v="1"/>
    <n v="9034945"/>
    <n v="1322751"/>
    <n v="104028"/>
    <n v="8.1602659911049012E-3"/>
    <n v="10794"/>
    <b v="0"/>
    <n v="238"/>
    <b v="0"/>
    <n v="27"/>
    <b v="0"/>
    <n v="179037"/>
    <n v="0"/>
    <n v="0"/>
    <n v="0"/>
    <n v="0"/>
    <m/>
  </r>
  <r>
    <n v="1"/>
    <s v="2021-02-01"/>
    <x v="1"/>
    <s v="facebook_tier1"/>
    <x v="1"/>
    <x v="1"/>
    <n v="349043"/>
    <n v="148263"/>
    <n v="7307.37"/>
    <n v="8.1611730505925274E-3"/>
    <n v="1210"/>
    <b v="0"/>
    <n v="13"/>
    <b v="0"/>
    <n v="1"/>
    <b v="0"/>
    <n v="4981"/>
    <n v="0"/>
    <n v="0"/>
    <n v="0"/>
    <n v="0"/>
    <m/>
  </r>
  <r>
    <n v="260"/>
    <s v="2021-02-24"/>
    <x v="20"/>
    <s v="instagram_tier2"/>
    <x v="4"/>
    <x v="1"/>
    <n v="983498"/>
    <n v="624157"/>
    <n v="18675"/>
    <n v="8.1678167512340642E-3"/>
    <n v="5098"/>
    <b v="0"/>
    <n v="122"/>
    <b v="0"/>
    <n v="6"/>
    <b v="0"/>
    <n v="10590"/>
    <n v="0"/>
    <n v="0"/>
    <n v="0"/>
    <n v="0"/>
    <m/>
  </r>
  <r>
    <n v="170"/>
    <s v="2021-02-16"/>
    <x v="11"/>
    <s v="youtube_blogger"/>
    <x v="8"/>
    <x v="3"/>
    <n v="10934"/>
    <n v="4371118"/>
    <n v="221258"/>
    <n v="8.2356504674547786E-3"/>
    <n v="35999"/>
    <b v="0"/>
    <n v="720"/>
    <b v="0"/>
    <n v="128"/>
    <b v="0"/>
    <n v="1021570"/>
    <n v="0"/>
    <n v="0"/>
    <n v="0"/>
    <n v="0"/>
    <m/>
  </r>
  <r>
    <n v="257"/>
    <s v="2021-02-24"/>
    <x v="20"/>
    <s v="google_wide"/>
    <x v="3"/>
    <x v="2"/>
    <n v="127823"/>
    <n v="291441"/>
    <n v="22357.599999999999"/>
    <n v="8.262392731290381E-3"/>
    <n v="2408"/>
    <b v="0"/>
    <n v="52"/>
    <b v="0"/>
    <n v="5"/>
    <b v="0"/>
    <n v="19060"/>
    <n v="0"/>
    <n v="0"/>
    <n v="0"/>
    <n v="0"/>
    <m/>
  </r>
  <r>
    <n v="87"/>
    <s v="2021-02-08"/>
    <x v="23"/>
    <s v="instagram_blogger"/>
    <x v="7"/>
    <x v="3"/>
    <n v="374754"/>
    <n v="361650"/>
    <n v="31154.3"/>
    <n v="8.2704272086271263E-3"/>
    <n v="2991"/>
    <b v="0"/>
    <n v="60"/>
    <b v="0"/>
    <n v="9"/>
    <b v="0"/>
    <n v="45027"/>
    <n v="0"/>
    <n v="0"/>
    <n v="0"/>
    <n v="0"/>
    <m/>
  </r>
  <r>
    <n v="255"/>
    <s v="2021-02-24"/>
    <x v="20"/>
    <s v="facebOOK_tier2"/>
    <x v="5"/>
    <x v="1"/>
    <n v="348934"/>
    <n v="395127"/>
    <n v="44347.199999999997"/>
    <n v="8.3441526395310883E-3"/>
    <n v="3297"/>
    <b v="0"/>
    <n v="66"/>
    <b v="0"/>
    <n v="7"/>
    <b v="0"/>
    <n v="34867"/>
    <n v="0"/>
    <n v="0"/>
    <n v="0"/>
    <n v="0"/>
    <m/>
  </r>
  <r>
    <n v="295"/>
    <s v="2021-02-27"/>
    <x v="14"/>
    <s v="facebook_lal"/>
    <x v="6"/>
    <x v="1"/>
    <n v="544756"/>
    <n v="13693"/>
    <n v="3098.45"/>
    <n v="8.3984517636748711E-3"/>
    <n v="115"/>
    <b v="0"/>
    <n v="2"/>
    <b v="0"/>
    <n v="0"/>
    <b v="0"/>
    <n v="0"/>
    <n v="0"/>
    <n v="0"/>
    <n v="0"/>
    <n v="0"/>
    <m/>
  </r>
  <r>
    <n v="263"/>
    <s v="2021-02-24"/>
    <x v="20"/>
    <s v="instagram_blogger"/>
    <x v="7"/>
    <x v="3"/>
    <n v="374754"/>
    <n v="355802"/>
    <n v="42311.5"/>
    <n v="8.4035502892057939E-3"/>
    <n v="2990"/>
    <b v="0"/>
    <n v="60"/>
    <b v="0"/>
    <n v="9"/>
    <b v="0"/>
    <n v="44829"/>
    <n v="0"/>
    <n v="0"/>
    <n v="0"/>
    <n v="0"/>
    <m/>
  </r>
  <r>
    <n v="38"/>
    <s v="2021-02-04"/>
    <x v="10"/>
    <s v="youtube_blogger"/>
    <x v="8"/>
    <x v="3"/>
    <n v="10934"/>
    <n v="2120555"/>
    <n v="185263"/>
    <n v="8.4850428307683603E-3"/>
    <n v="17993"/>
    <b v="0"/>
    <n v="445"/>
    <b v="0"/>
    <n v="89"/>
    <b v="0"/>
    <n v="624958"/>
    <n v="0"/>
    <n v="0"/>
    <n v="0"/>
    <n v="0"/>
    <m/>
  </r>
  <r>
    <n v="303"/>
    <s v="2021-02-28"/>
    <x v="8"/>
    <s v="instagram_tier1"/>
    <x v="2"/>
    <x v="1"/>
    <n v="9034945"/>
    <n v="63566"/>
    <n v="4950.74"/>
    <n v="8.5894975301261684E-3"/>
    <n v="546"/>
    <b v="0"/>
    <n v="12"/>
    <b v="0"/>
    <n v="1"/>
    <b v="0"/>
    <n v="5981"/>
    <n v="0"/>
    <n v="0"/>
    <n v="0"/>
    <n v="0"/>
    <m/>
  </r>
  <r>
    <n v="98"/>
    <s v="2021-02-09"/>
    <x v="13"/>
    <s v="instagram_blogger"/>
    <x v="7"/>
    <x v="3"/>
    <n v="374754"/>
    <n v="346068"/>
    <n v="57642.400000000001"/>
    <n v="8.6861541662332266E-3"/>
    <n v="3006"/>
    <b v="0"/>
    <n v="99"/>
    <b v="0"/>
    <n v="15"/>
    <b v="0"/>
    <n v="89460"/>
    <n v="0"/>
    <n v="0"/>
    <n v="0"/>
    <n v="0"/>
    <m/>
  </r>
  <r>
    <n v="301"/>
    <s v="2021-02-28"/>
    <x v="8"/>
    <s v="google_wide"/>
    <x v="3"/>
    <x v="2"/>
    <n v="127823"/>
    <n v="55625"/>
    <n v="384.75"/>
    <n v="8.7550561797752804E-3"/>
    <n v="487"/>
    <b v="0"/>
    <n v="1"/>
    <b v="0"/>
    <n v="0"/>
    <b v="0"/>
    <n v="0"/>
    <n v="0"/>
    <n v="0"/>
    <n v="0"/>
    <n v="0"/>
    <m/>
  </r>
  <r>
    <n v="271"/>
    <s v="2021-02-25"/>
    <x v="9"/>
    <s v="instagram_tier2"/>
    <x v="4"/>
    <x v="1"/>
    <n v="983498"/>
    <n v="115468"/>
    <n v="2059.0300000000002"/>
    <n v="8.7903141996050847E-3"/>
    <n v="1015"/>
    <b v="0"/>
    <n v="20"/>
    <b v="0"/>
    <n v="1"/>
    <b v="0"/>
    <n v="1981"/>
    <n v="0"/>
    <n v="0"/>
    <n v="0"/>
    <n v="0"/>
    <m/>
  </r>
  <r>
    <n v="24"/>
    <s v="2021-02-03"/>
    <x v="3"/>
    <s v="facebOOK_tier2"/>
    <x v="5"/>
    <x v="1"/>
    <n v="348934"/>
    <n v="1105666"/>
    <n v="78958.3"/>
    <n v="8.9520705167745046E-3"/>
    <n v="9898"/>
    <b v="0"/>
    <n v="226"/>
    <b v="0"/>
    <n v="12"/>
    <b v="0"/>
    <n v="59772"/>
    <n v="0"/>
    <n v="0"/>
    <n v="0"/>
    <n v="0"/>
    <m/>
  </r>
  <r>
    <n v="73"/>
    <s v="2021-02-07"/>
    <x v="12"/>
    <s v="instagram_tier2"/>
    <x v="4"/>
    <x v="1"/>
    <n v="983498"/>
    <n v="567096"/>
    <n v="6747.94"/>
    <n v="8.9984764484320121E-3"/>
    <n v="5103"/>
    <b v="0"/>
    <n v="199"/>
    <b v="0"/>
    <n v="2"/>
    <b v="0"/>
    <n v="3962"/>
    <n v="0"/>
    <n v="0"/>
    <n v="0"/>
    <n v="0"/>
    <m/>
  </r>
  <r>
    <n v="93"/>
    <s v="2021-02-09"/>
    <x v="13"/>
    <s v="youtube_blogger"/>
    <x v="8"/>
    <x v="3"/>
    <n v="10934"/>
    <n v="491821"/>
    <n v="27833"/>
    <n v="9.1395040065389652E-3"/>
    <n v="4495"/>
    <b v="0"/>
    <n v="90"/>
    <b v="0"/>
    <n v="18"/>
    <b v="0"/>
    <n v="143658"/>
    <n v="0"/>
    <n v="0"/>
    <n v="0"/>
    <n v="0"/>
    <m/>
  </r>
  <r>
    <n v="269"/>
    <s v="2021-02-25"/>
    <x v="9"/>
    <s v="youtube_blogger"/>
    <x v="8"/>
    <x v="3"/>
    <n v="10934"/>
    <n v="94976"/>
    <n v="9034.91"/>
    <n v="9.5181940700808619E-3"/>
    <n v="904"/>
    <b v="0"/>
    <n v="22"/>
    <b v="0"/>
    <n v="5"/>
    <b v="0"/>
    <n v="38030"/>
    <n v="0"/>
    <n v="0"/>
    <n v="0"/>
    <n v="0"/>
    <m/>
  </r>
  <r>
    <n v="60"/>
    <s v="2021-02-06"/>
    <x v="4"/>
    <s v="youtube_blogger"/>
    <x v="8"/>
    <x v="3"/>
    <n v="10934"/>
    <n v="472252"/>
    <n v="80971.399999999994"/>
    <n v="9.5457509973488723E-3"/>
    <n v="4508"/>
    <b v="0"/>
    <n v="133"/>
    <b v="0"/>
    <n v="27"/>
    <b v="0"/>
    <n v="215487"/>
    <n v="0"/>
    <n v="0"/>
    <n v="0"/>
    <n v="0"/>
    <m/>
  </r>
  <r>
    <n v="306"/>
    <s v="2021-02-28"/>
    <x v="8"/>
    <s v="facebook_lal"/>
    <x v="6"/>
    <x v="1"/>
    <n v="544756"/>
    <n v="25840"/>
    <n v="6844.8"/>
    <n v="9.5975232198142416E-3"/>
    <n v="248"/>
    <b v="0"/>
    <n v="5"/>
    <b v="0"/>
    <n v="1"/>
    <b v="0"/>
    <n v="1491"/>
    <n v="0"/>
    <n v="0"/>
    <n v="0"/>
    <n v="0"/>
    <m/>
  </r>
  <r>
    <n v="186"/>
    <s v="2021-02-17"/>
    <x v="18"/>
    <s v="instagram_blogger"/>
    <x v="7"/>
    <x v="3"/>
    <n v="374754"/>
    <n v="2795511"/>
    <n v="462606"/>
    <n v="9.6547643704496238E-3"/>
    <n v="26990"/>
    <b v="0"/>
    <n v="795"/>
    <b v="0"/>
    <n v="119"/>
    <b v="0"/>
    <n v="592739"/>
    <n v="0"/>
    <n v="0"/>
    <n v="0"/>
    <n v="0"/>
    <m/>
  </r>
  <r>
    <n v="5"/>
    <s v="2021-02-01"/>
    <x v="1"/>
    <s v="youtube_blogger"/>
    <x v="8"/>
    <x v="3"/>
    <n v="10934"/>
    <n v="225800"/>
    <n v="29962.2"/>
    <n v="0.01"/>
    <n v="2258"/>
    <b v="0"/>
    <n v="49"/>
    <b v="0"/>
    <n v="10"/>
    <b v="0"/>
    <n v="84490"/>
    <n v="0"/>
    <n v="0"/>
    <n v="0"/>
    <n v="0"/>
    <m/>
  </r>
  <r>
    <n v="16"/>
    <s v="2021-02-02"/>
    <x v="2"/>
    <s v="youtube_blogger"/>
    <x v="8"/>
    <x v="3"/>
    <n v="10934"/>
    <n v="449200"/>
    <n v="42301.1"/>
    <n v="0.01"/>
    <n v="4492"/>
    <b v="0"/>
    <n v="85"/>
    <b v="0"/>
    <n v="17"/>
    <b v="0"/>
    <n v="149141"/>
    <n v="0"/>
    <n v="0"/>
    <n v="0"/>
    <n v="0"/>
    <m/>
  </r>
  <r>
    <n v="21"/>
    <s v="2021-02-02"/>
    <x v="2"/>
    <s v="instagram_blogger"/>
    <x v="7"/>
    <x v="3"/>
    <n v="374754"/>
    <n v="299600"/>
    <n v="13919.1"/>
    <n v="0.01"/>
    <n v="2996"/>
    <b v="0"/>
    <n v="19"/>
    <b v="0"/>
    <n v="3"/>
    <b v="0"/>
    <n v="14466"/>
    <n v="0"/>
    <n v="0"/>
    <n v="0"/>
    <n v="0"/>
    <m/>
  </r>
  <r>
    <n v="43"/>
    <s v="2021-02-04"/>
    <x v="10"/>
    <s v="instagram_blogger"/>
    <x v="7"/>
    <x v="3"/>
    <n v="374754"/>
    <n v="1199300"/>
    <n v="149279"/>
    <n v="0.01"/>
    <n v="11993"/>
    <b v="0"/>
    <n v="267"/>
    <b v="0"/>
    <n v="38"/>
    <b v="0"/>
    <n v="224542"/>
    <n v="0"/>
    <n v="0"/>
    <n v="0"/>
    <n v="0"/>
    <m/>
  </r>
  <r>
    <n v="53"/>
    <s v="2021-02-05"/>
    <x v="16"/>
    <s v="facebook_lal"/>
    <x v="6"/>
    <x v="1"/>
    <n v="544756"/>
    <n v="600400"/>
    <n v="192789"/>
    <n v="0.01"/>
    <n v="6004"/>
    <b v="0"/>
    <n v="120"/>
    <b v="0"/>
    <n v="21"/>
    <b v="0"/>
    <n v="9492"/>
    <n v="0"/>
    <n v="0"/>
    <n v="0"/>
    <n v="0"/>
    <m/>
  </r>
  <r>
    <n v="64"/>
    <s v="2021-02-06"/>
    <x v="4"/>
    <s v="facebook_lal"/>
    <x v="6"/>
    <x v="1"/>
    <n v="544756"/>
    <n v="119700"/>
    <n v="29281"/>
    <n v="0.01"/>
    <n v="1197"/>
    <b v="0"/>
    <n v="24"/>
    <b v="0"/>
    <n v="4"/>
    <b v="0"/>
    <n v="6428"/>
    <n v="0"/>
    <n v="0"/>
    <n v="0"/>
    <n v="0"/>
    <m/>
  </r>
  <r>
    <n v="65"/>
    <s v="2021-02-06"/>
    <x v="4"/>
    <s v="instagram_blogger"/>
    <x v="7"/>
    <x v="3"/>
    <n v="374754"/>
    <n v="300700"/>
    <n v="8289.2099999999991"/>
    <n v="0.01"/>
    <n v="3007"/>
    <b v="0"/>
    <n v="20"/>
    <b v="0"/>
    <n v="2"/>
    <b v="0"/>
    <n v="9450"/>
    <n v="0"/>
    <n v="0"/>
    <n v="0"/>
    <n v="0"/>
    <m/>
  </r>
  <r>
    <n v="76"/>
    <s v="2021-02-07"/>
    <x v="12"/>
    <s v="instagram_blogger"/>
    <x v="7"/>
    <x v="3"/>
    <n v="374754"/>
    <n v="300700"/>
    <n v="46167.6"/>
    <n v="0.01"/>
    <n v="3007"/>
    <b v="0"/>
    <n v="93"/>
    <b v="0"/>
    <n v="12"/>
    <b v="0"/>
    <n v="68076"/>
    <n v="0"/>
    <n v="0"/>
    <n v="0"/>
    <n v="0"/>
    <m/>
  </r>
  <r>
    <n v="86"/>
    <s v="2021-02-08"/>
    <x v="23"/>
    <s v="facebook_lal"/>
    <x v="6"/>
    <x v="1"/>
    <n v="544756"/>
    <n v="120200"/>
    <n v="40099"/>
    <n v="0.01"/>
    <n v="1202"/>
    <b v="0"/>
    <n v="24"/>
    <b v="0"/>
    <n v="5"/>
    <b v="0"/>
    <n v="4905"/>
    <n v="0"/>
    <n v="0"/>
    <n v="0"/>
    <n v="0"/>
    <m/>
  </r>
  <r>
    <n v="119"/>
    <s v="2021-02-11"/>
    <x v="25"/>
    <s v="facebook_lal"/>
    <x v="6"/>
    <x v="1"/>
    <n v="544756"/>
    <n v="359500"/>
    <n v="6171.15"/>
    <n v="0.01"/>
    <n v="3595"/>
    <b v="0"/>
    <n v="5"/>
    <b v="0"/>
    <n v="1"/>
    <b v="0"/>
    <n v="677"/>
    <n v="0"/>
    <n v="0"/>
    <n v="0"/>
    <n v="0"/>
    <m/>
  </r>
  <r>
    <n v="120"/>
    <s v="2021-02-11"/>
    <x v="25"/>
    <s v="instagram_blogger"/>
    <x v="7"/>
    <x v="3"/>
    <n v="374754"/>
    <n v="900400"/>
    <n v="128751"/>
    <n v="0.01"/>
    <n v="9004"/>
    <b v="0"/>
    <n v="227"/>
    <b v="0"/>
    <n v="29"/>
    <b v="0"/>
    <n v="143869"/>
    <n v="0"/>
    <n v="0"/>
    <n v="0"/>
    <n v="0"/>
    <m/>
  </r>
  <r>
    <n v="130"/>
    <s v="2021-02-12"/>
    <x v="21"/>
    <s v="facebook_lal"/>
    <x v="6"/>
    <x v="1"/>
    <n v="544756"/>
    <n v="480000"/>
    <n v="44580.9"/>
    <n v="0.01"/>
    <n v="4800"/>
    <b v="0"/>
    <n v="33"/>
    <b v="0"/>
    <n v="5"/>
    <b v="0"/>
    <n v="6945"/>
    <n v="0"/>
    <n v="0"/>
    <n v="0"/>
    <n v="0"/>
    <m/>
  </r>
  <r>
    <n v="131"/>
    <s v="2021-02-12"/>
    <x v="21"/>
    <s v="instagram_blogger"/>
    <x v="7"/>
    <x v="3"/>
    <n v="374754"/>
    <n v="1200300"/>
    <n v="308572"/>
    <n v="0.01"/>
    <n v="12003"/>
    <b v="0"/>
    <n v="412"/>
    <b v="0"/>
    <n v="79"/>
    <b v="0"/>
    <n v="393499"/>
    <n v="0"/>
    <n v="0"/>
    <n v="0"/>
    <n v="0"/>
    <m/>
  </r>
  <r>
    <n v="137"/>
    <s v="2021-02-13"/>
    <x v="15"/>
    <s v="youtube_blogger"/>
    <x v="8"/>
    <x v="3"/>
    <n v="10934"/>
    <n v="2250900"/>
    <n v="205045"/>
    <n v="0.01"/>
    <n v="22509"/>
    <b v="0"/>
    <n v="790"/>
    <b v="0"/>
    <n v="158"/>
    <b v="0"/>
    <n v="1296550"/>
    <n v="0"/>
    <n v="0"/>
    <n v="0"/>
    <n v="0"/>
    <m/>
  </r>
  <r>
    <n v="142"/>
    <s v="2021-02-13"/>
    <x v="15"/>
    <s v="instagram_blogger"/>
    <x v="7"/>
    <x v="3"/>
    <n v="374754"/>
    <n v="1499200"/>
    <n v="32770.1"/>
    <n v="0.01"/>
    <n v="14992"/>
    <b v="0"/>
    <n v="50"/>
    <b v="0"/>
    <n v="8"/>
    <b v="0"/>
    <n v="43976"/>
    <n v="0"/>
    <n v="0"/>
    <n v="0"/>
    <n v="0"/>
    <m/>
  </r>
  <r>
    <n v="164"/>
    <s v="2021-02-15"/>
    <x v="27"/>
    <s v="instagram_blogger"/>
    <x v="7"/>
    <x v="3"/>
    <n v="374754"/>
    <n v="2100700"/>
    <n v="82452"/>
    <n v="0.01"/>
    <n v="21007"/>
    <b v="0"/>
    <n v="122"/>
    <b v="0"/>
    <n v="24"/>
    <b v="0"/>
    <n v="103392"/>
    <n v="0"/>
    <n v="0"/>
    <n v="0"/>
    <n v="0"/>
    <m/>
  </r>
  <r>
    <n v="181"/>
    <s v="2021-02-17"/>
    <x v="18"/>
    <s v="youtube_blogger"/>
    <x v="8"/>
    <x v="3"/>
    <n v="10934"/>
    <n v="4049400"/>
    <n v="363811"/>
    <n v="0.01"/>
    <n v="40494"/>
    <b v="0"/>
    <n v="746"/>
    <b v="0"/>
    <n v="149"/>
    <b v="0"/>
    <n v="1189170"/>
    <n v="0"/>
    <n v="0"/>
    <n v="0"/>
    <n v="0"/>
    <m/>
  </r>
  <r>
    <n v="207"/>
    <s v="2021-02-19"/>
    <x v="22"/>
    <s v="facebook_lal"/>
    <x v="6"/>
    <x v="1"/>
    <n v="544756"/>
    <n v="1320200"/>
    <n v="440355"/>
    <n v="0.01"/>
    <n v="13202"/>
    <b v="0"/>
    <n v="264"/>
    <b v="0"/>
    <n v="45"/>
    <b v="0"/>
    <n v="80325"/>
    <n v="0"/>
    <n v="0"/>
    <n v="0"/>
    <n v="0"/>
    <m/>
  </r>
  <r>
    <n v="208"/>
    <s v="2021-02-19"/>
    <x v="22"/>
    <s v="instagram_blogger"/>
    <x v="7"/>
    <x v="3"/>
    <n v="374754"/>
    <n v="3299900"/>
    <n v="404285"/>
    <n v="0.01"/>
    <n v="32999"/>
    <b v="0"/>
    <n v="694"/>
    <b v="0"/>
    <n v="104"/>
    <b v="0"/>
    <n v="519272"/>
    <n v="0"/>
    <n v="0"/>
    <n v="0"/>
    <n v="0"/>
    <m/>
  </r>
  <r>
    <n v="214"/>
    <s v="2021-02-20"/>
    <x v="24"/>
    <s v="youtube_blogger"/>
    <x v="8"/>
    <x v="3"/>
    <n v="10934"/>
    <n v="5399300"/>
    <n v="303860"/>
    <n v="0.01"/>
    <n v="53993"/>
    <b v="0"/>
    <n v="1094"/>
    <b v="0"/>
    <n v="182"/>
    <b v="0"/>
    <n v="1452540"/>
    <n v="0"/>
    <n v="0"/>
    <n v="0"/>
    <n v="0"/>
    <m/>
  </r>
  <r>
    <n v="229"/>
    <s v="2021-02-21"/>
    <x v="6"/>
    <s v="facebook_lal"/>
    <x v="6"/>
    <x v="1"/>
    <n v="544756"/>
    <n v="119400"/>
    <n v="32169.9"/>
    <n v="0.01"/>
    <n v="1194"/>
    <b v="0"/>
    <n v="24"/>
    <b v="0"/>
    <n v="4"/>
    <b v="0"/>
    <n v="3924"/>
    <n v="0"/>
    <n v="0"/>
    <n v="0"/>
    <n v="0"/>
    <m/>
  </r>
  <r>
    <n v="230"/>
    <s v="2021-02-21"/>
    <x v="6"/>
    <s v="instagram_blogger"/>
    <x v="7"/>
    <x v="3"/>
    <n v="374754"/>
    <n v="300900"/>
    <n v="65006.3"/>
    <n v="0.01"/>
    <n v="3009"/>
    <b v="0"/>
    <n v="89"/>
    <b v="0"/>
    <n v="17"/>
    <b v="0"/>
    <n v="84677"/>
    <n v="0"/>
    <n v="0"/>
    <n v="0"/>
    <n v="0"/>
    <m/>
  </r>
  <r>
    <n v="240"/>
    <s v="2021-02-22"/>
    <x v="0"/>
    <s v="facebook_lal"/>
    <x v="6"/>
    <x v="1"/>
    <n v="544756"/>
    <n v="239600"/>
    <n v="51783.3"/>
    <n v="0.01"/>
    <n v="2396"/>
    <b v="0"/>
    <n v="48"/>
    <b v="0"/>
    <n v="6"/>
    <b v="0"/>
    <n v="5886"/>
    <n v="0"/>
    <n v="0"/>
    <n v="0"/>
    <n v="0"/>
    <m/>
  </r>
  <r>
    <n v="241"/>
    <s v="2021-02-22"/>
    <x v="0"/>
    <s v="instagram_blogger"/>
    <x v="7"/>
    <x v="3"/>
    <n v="374754"/>
    <n v="599700"/>
    <n v="137382"/>
    <n v="0.01"/>
    <n v="5997"/>
    <b v="0"/>
    <n v="236"/>
    <b v="0"/>
    <n v="35"/>
    <b v="0"/>
    <n v="158340"/>
    <n v="0"/>
    <n v="0"/>
    <n v="0"/>
    <n v="0"/>
    <m/>
  </r>
  <r>
    <n v="251"/>
    <s v="2021-02-23"/>
    <x v="17"/>
    <s v="facebook_lal"/>
    <x v="6"/>
    <x v="1"/>
    <n v="544756"/>
    <n v="60800"/>
    <n v="16078.6"/>
    <n v="0.01"/>
    <n v="608"/>
    <b v="0"/>
    <n v="12"/>
    <b v="0"/>
    <n v="2"/>
    <b v="0"/>
    <n v="2720"/>
    <n v="0"/>
    <n v="0"/>
    <n v="0"/>
    <n v="0"/>
    <m/>
  </r>
  <r>
    <n v="273"/>
    <s v="2021-02-25"/>
    <x v="9"/>
    <s v="facebook_lal"/>
    <x v="6"/>
    <x v="1"/>
    <n v="544756"/>
    <n v="25000"/>
    <n v="5871.29"/>
    <n v="0.01"/>
    <n v="250"/>
    <b v="0"/>
    <n v="5"/>
    <b v="0"/>
    <n v="1"/>
    <b v="0"/>
    <n v="981"/>
    <n v="0"/>
    <n v="0"/>
    <n v="0"/>
    <n v="0"/>
    <m/>
  </r>
  <r>
    <n v="291"/>
    <s v="2021-02-27"/>
    <x v="14"/>
    <s v="youtube_blogger"/>
    <x v="8"/>
    <x v="3"/>
    <n v="10934"/>
    <n v="44000"/>
    <n v="5721.83"/>
    <n v="0.01"/>
    <n v="440"/>
    <b v="0"/>
    <n v="15"/>
    <b v="0"/>
    <n v="3"/>
    <b v="0"/>
    <n v="23943"/>
    <n v="0"/>
    <n v="0"/>
    <n v="0"/>
    <n v="0"/>
    <m/>
  </r>
  <r>
    <n v="196"/>
    <s v="2021-02-18"/>
    <x v="5"/>
    <s v="facebook_lal"/>
    <x v="6"/>
    <x v="1"/>
    <n v="544756"/>
    <n v="1181224"/>
    <n v="171831"/>
    <n v="1.0151334547892694E-2"/>
    <n v="11991"/>
    <b v="0"/>
    <n v="128"/>
    <b v="0"/>
    <n v="19"/>
    <b v="0"/>
    <n v="17917"/>
    <n v="0"/>
    <n v="0"/>
    <n v="0"/>
    <n v="0"/>
    <m/>
  </r>
  <r>
    <n v="9"/>
    <s v="2021-02-01"/>
    <x v="1"/>
    <s v="facebook_lal"/>
    <x v="6"/>
    <x v="1"/>
    <n v="544756"/>
    <n v="56916"/>
    <n v="16997.8"/>
    <n v="1.0471572141401363E-2"/>
    <n v="596"/>
    <b v="0"/>
    <n v="14"/>
    <b v="0"/>
    <n v="2"/>
    <b v="0"/>
    <n v="4162"/>
    <n v="0"/>
    <n v="0"/>
    <n v="0"/>
    <n v="0"/>
    <m/>
  </r>
  <r>
    <n v="148"/>
    <s v="2021-02-14"/>
    <x v="26"/>
    <s v="youtube_blogger"/>
    <x v="8"/>
    <x v="3"/>
    <n v="10934"/>
    <n v="2511956"/>
    <n v="231751"/>
    <n v="1.0745809241881626E-2"/>
    <n v="26993"/>
    <b v="0"/>
    <n v="540"/>
    <b v="0"/>
    <n v="85"/>
    <b v="0"/>
    <n v="733550"/>
    <n v="0"/>
    <n v="0"/>
    <n v="0"/>
    <n v="0"/>
    <m/>
  </r>
  <r>
    <n v="258"/>
    <s v="2021-02-24"/>
    <x v="20"/>
    <s v="youtube_blogger"/>
    <x v="8"/>
    <x v="3"/>
    <n v="10934"/>
    <n v="409320"/>
    <n v="22944.3"/>
    <n v="1.1013388058242939E-2"/>
    <n v="4508"/>
    <b v="0"/>
    <n v="65"/>
    <b v="0"/>
    <n v="14"/>
    <b v="0"/>
    <n v="111734"/>
    <n v="0"/>
    <n v="0"/>
    <n v="0"/>
    <n v="0"/>
    <m/>
  </r>
  <r>
    <n v="284"/>
    <s v="2021-02-26"/>
    <x v="7"/>
    <s v="facebook_lal"/>
    <x v="6"/>
    <x v="1"/>
    <n v="544756"/>
    <n v="55269"/>
    <n v="315.92"/>
    <n v="1.1036928477084804E-2"/>
    <n v="610"/>
    <b v="0"/>
    <n v="0"/>
    <b v="0"/>
    <n v="0"/>
    <b v="0"/>
    <n v="0"/>
    <n v="0"/>
    <n v="0"/>
    <n v="0"/>
    <n v="0"/>
    <m/>
  </r>
  <r>
    <n v="192"/>
    <s v="2021-02-18"/>
    <x v="5"/>
    <s v="youtube_blogger"/>
    <x v="8"/>
    <x v="3"/>
    <n v="10934"/>
    <n v="4064081"/>
    <n v="86522.9"/>
    <n v="1.1073598188618781E-2"/>
    <n v="45004"/>
    <b v="0"/>
    <n v="144"/>
    <b v="0"/>
    <n v="31"/>
    <b v="0"/>
    <n v="256897"/>
    <n v="0"/>
    <n v="0"/>
    <n v="0"/>
    <n v="0"/>
    <m/>
  </r>
  <r>
    <n v="42"/>
    <s v="2021-02-04"/>
    <x v="10"/>
    <s v="facebook_lal"/>
    <x v="6"/>
    <x v="1"/>
    <n v="544756"/>
    <n v="432611"/>
    <n v="120335"/>
    <n v="1.1111599104044974E-2"/>
    <n v="4807"/>
    <b v="0"/>
    <n v="71"/>
    <b v="0"/>
    <n v="13"/>
    <b v="0"/>
    <n v="6864"/>
    <n v="0"/>
    <n v="0"/>
    <n v="0"/>
    <n v="0"/>
    <m/>
  </r>
  <r>
    <n v="20"/>
    <s v="2021-02-02"/>
    <x v="2"/>
    <s v="facebook_lal"/>
    <x v="6"/>
    <x v="1"/>
    <n v="544756"/>
    <n v="107553"/>
    <n v="8829.07"/>
    <n v="1.1120098927970397E-2"/>
    <n v="1196"/>
    <b v="0"/>
    <n v="7"/>
    <b v="0"/>
    <n v="1"/>
    <b v="0"/>
    <n v="1129"/>
    <n v="0"/>
    <n v="0"/>
    <n v="0"/>
    <n v="0"/>
    <m/>
  </r>
  <r>
    <n v="115"/>
    <s v="2021-02-11"/>
    <x v="25"/>
    <s v="youtube_blogger"/>
    <x v="8"/>
    <x v="3"/>
    <n v="10934"/>
    <n v="1210466"/>
    <n v="197161"/>
    <n v="1.1157686378634344E-2"/>
    <n v="13506"/>
    <b v="0"/>
    <n v="474"/>
    <b v="0"/>
    <n v="95"/>
    <b v="0"/>
    <n v="831820"/>
    <n v="0"/>
    <n v="0"/>
    <n v="0"/>
    <n v="0"/>
    <m/>
  </r>
  <r>
    <n v="49"/>
    <s v="2021-02-05"/>
    <x v="16"/>
    <s v="youtube_blogger"/>
    <x v="8"/>
    <x v="3"/>
    <n v="10934"/>
    <n v="1965108"/>
    <n v="442617"/>
    <n v="1.1453314525206757E-2"/>
    <n v="22507"/>
    <b v="0"/>
    <n v="731"/>
    <b v="0"/>
    <n v="146"/>
    <b v="0"/>
    <n v="1165230"/>
    <n v="0"/>
    <n v="0"/>
    <n v="0"/>
    <n v="0"/>
    <m/>
  </r>
  <r>
    <n v="280"/>
    <s v="2021-02-26"/>
    <x v="7"/>
    <s v="youtube_blogger"/>
    <x v="8"/>
    <x v="3"/>
    <n v="10934"/>
    <n v="195016"/>
    <n v="38804.199999999997"/>
    <n v="1.1522131517413955E-2"/>
    <n v="2247"/>
    <b v="0"/>
    <n v="82"/>
    <b v="0"/>
    <n v="16"/>
    <b v="0"/>
    <n v="127696"/>
    <n v="0"/>
    <n v="0"/>
    <n v="0"/>
    <n v="0"/>
    <m/>
  </r>
  <r>
    <n v="236"/>
    <s v="2021-02-22"/>
    <x v="0"/>
    <s v="youtube_blogger"/>
    <x v="8"/>
    <x v="3"/>
    <n v="10934"/>
    <n v="757387"/>
    <n v="77803.8"/>
    <n v="1.1878999771583087E-2"/>
    <n v="8997"/>
    <b v="0"/>
    <n v="180"/>
    <b v="0"/>
    <n v="42"/>
    <b v="0"/>
    <n v="359394"/>
    <n v="0"/>
    <n v="0"/>
    <n v="0"/>
    <n v="0"/>
    <m/>
  </r>
  <r>
    <n v="152"/>
    <s v="2021-02-14"/>
    <x v="26"/>
    <s v="facebook_lal"/>
    <x v="6"/>
    <x v="1"/>
    <n v="544756"/>
    <n v="605220"/>
    <n v="170719"/>
    <n v="1.1904761904761904E-2"/>
    <n v="7205"/>
    <b v="0"/>
    <n v="142"/>
    <b v="0"/>
    <n v="21"/>
    <b v="0"/>
    <n v="14280"/>
    <n v="0"/>
    <n v="0"/>
    <n v="0"/>
    <n v="0"/>
    <m/>
  </r>
  <r>
    <n v="197"/>
    <s v="2021-02-18"/>
    <x v="5"/>
    <s v="instagram_blogger"/>
    <x v="7"/>
    <x v="3"/>
    <n v="374754"/>
    <n v="2482796"/>
    <n v="518530"/>
    <n v="1.2083151414775922E-2"/>
    <n v="30000"/>
    <b v="0"/>
    <n v="1032"/>
    <b v="0"/>
    <n v="134"/>
    <b v="0"/>
    <n v="796630"/>
    <n v="0"/>
    <n v="0"/>
    <n v="0"/>
    <n v="0"/>
    <m/>
  </r>
  <r>
    <n v="141"/>
    <s v="2021-02-13"/>
    <x v="15"/>
    <s v="facebook_lal"/>
    <x v="6"/>
    <x v="1"/>
    <n v="544756"/>
    <n v="495013"/>
    <n v="171332"/>
    <n v="1.2133014688503131E-2"/>
    <n v="6006"/>
    <b v="0"/>
    <n v="128"/>
    <b v="0"/>
    <n v="19"/>
    <b v="0"/>
    <n v="24035"/>
    <n v="0"/>
    <n v="0"/>
    <n v="0"/>
    <n v="0"/>
    <m/>
  </r>
  <r>
    <n v="31"/>
    <s v="2021-02-03"/>
    <x v="3"/>
    <s v="facebook_lal"/>
    <x v="6"/>
    <x v="1"/>
    <n v="544756"/>
    <n v="295009"/>
    <n v="76716.399999999994"/>
    <n v="1.2186068899592895E-2"/>
    <n v="3595"/>
    <b v="0"/>
    <n v="72"/>
    <b v="0"/>
    <n v="9"/>
    <b v="0"/>
    <n v="5607"/>
    <n v="0"/>
    <n v="0"/>
    <n v="0"/>
    <n v="0"/>
    <m/>
  </r>
  <r>
    <n v="109"/>
    <s v="2021-02-10"/>
    <x v="19"/>
    <s v="instagram_blogger"/>
    <x v="7"/>
    <x v="3"/>
    <n v="374754"/>
    <n v="489728"/>
    <n v="126901"/>
    <n v="1.2261908651332984E-2"/>
    <n v="6005"/>
    <b v="0"/>
    <n v="187"/>
    <b v="0"/>
    <n v="34"/>
    <b v="0"/>
    <n v="143888"/>
    <n v="0"/>
    <n v="0"/>
    <n v="0"/>
    <n v="0"/>
    <m/>
  </r>
  <r>
    <n v="296"/>
    <s v="2021-02-27"/>
    <x v="14"/>
    <s v="instagram_blogger"/>
    <x v="7"/>
    <x v="3"/>
    <n v="374754"/>
    <n v="24018"/>
    <n v="3524.08"/>
    <n v="1.2407361145807311E-2"/>
    <n v="298"/>
    <b v="0"/>
    <n v="6"/>
    <b v="0"/>
    <n v="1"/>
    <b v="0"/>
    <n v="4661"/>
    <n v="0"/>
    <n v="0"/>
    <n v="0"/>
    <n v="0"/>
    <m/>
  </r>
  <r>
    <n v="10"/>
    <s v="2021-02-01"/>
    <x v="1"/>
    <s v="instagram_blogger"/>
    <x v="7"/>
    <x v="3"/>
    <n v="374754"/>
    <n v="120436"/>
    <n v="23604.1"/>
    <n v="1.2438141419509116E-2"/>
    <n v="1498"/>
    <b v="0"/>
    <n v="49"/>
    <b v="0"/>
    <n v="7"/>
    <b v="0"/>
    <n v="39081"/>
    <n v="0"/>
    <n v="0"/>
    <n v="0"/>
    <n v="0"/>
    <m/>
  </r>
  <r>
    <n v="274"/>
    <s v="2021-02-25"/>
    <x v="9"/>
    <s v="instagram_blogger"/>
    <x v="7"/>
    <x v="3"/>
    <n v="374754"/>
    <n v="46753"/>
    <n v="6227.53"/>
    <n v="1.2640900049194704E-2"/>
    <n v="591"/>
    <b v="0"/>
    <n v="12"/>
    <b v="0"/>
    <n v="2"/>
    <b v="0"/>
    <n v="10130"/>
    <n v="0"/>
    <n v="0"/>
    <n v="0"/>
    <n v="0"/>
    <m/>
  </r>
  <r>
    <n v="159"/>
    <s v="2021-02-15"/>
    <x v="27"/>
    <s v="youtube_blogger"/>
    <x v="8"/>
    <x v="3"/>
    <n v="10934"/>
    <n v="2478877"/>
    <n v="151480"/>
    <n v="1.2708980719898568E-2"/>
    <n v="31504"/>
    <b v="0"/>
    <n v="630"/>
    <b v="0"/>
    <n v="98"/>
    <b v="0"/>
    <n v="782138"/>
    <n v="0"/>
    <n v="0"/>
    <n v="0"/>
    <n v="0"/>
    <m/>
  </r>
  <r>
    <n v="252"/>
    <s v="2021-02-23"/>
    <x v="17"/>
    <s v="instagram_blogger"/>
    <x v="7"/>
    <x v="3"/>
    <n v="374754"/>
    <n v="117218"/>
    <n v="15435"/>
    <n v="1.2796669453496903E-2"/>
    <n v="1500"/>
    <b v="0"/>
    <n v="31"/>
    <b v="0"/>
    <n v="4"/>
    <b v="0"/>
    <n v="17816"/>
    <n v="0"/>
    <n v="0"/>
    <n v="0"/>
    <n v="0"/>
    <m/>
  </r>
  <r>
    <n v="218"/>
    <s v="2021-02-20"/>
    <x v="24"/>
    <s v="facebook_lal"/>
    <x v="6"/>
    <x v="1"/>
    <n v="544756"/>
    <n v="1118531"/>
    <n v="173041"/>
    <n v="1.2873134495154806E-2"/>
    <n v="14399"/>
    <b v="0"/>
    <n v="113"/>
    <b v="0"/>
    <n v="18"/>
    <b v="0"/>
    <n v="17658"/>
    <n v="0"/>
    <n v="0"/>
    <n v="0"/>
    <n v="0"/>
    <m/>
  </r>
  <r>
    <n v="203"/>
    <s v="2021-02-19"/>
    <x v="22"/>
    <s v="youtube_blogger"/>
    <x v="8"/>
    <x v="3"/>
    <n v="10934"/>
    <n v="3801165"/>
    <n v="880357"/>
    <n v="1.3024954191675446E-2"/>
    <n v="49510"/>
    <b v="0"/>
    <n v="1666"/>
    <b v="0"/>
    <n v="369"/>
    <b v="0"/>
    <n v="2812520"/>
    <n v="0"/>
    <n v="0"/>
    <n v="0"/>
    <n v="0"/>
    <m/>
  </r>
  <r>
    <n v="27"/>
    <s v="2021-02-03"/>
    <x v="3"/>
    <s v="youtube_blogger"/>
    <x v="8"/>
    <x v="3"/>
    <n v="10934"/>
    <n v="1035261"/>
    <n v="189341"/>
    <n v="1.3043087685134474E-2"/>
    <n v="13503"/>
    <b v="0"/>
    <n v="455"/>
    <b v="0"/>
    <n v="91"/>
    <b v="0"/>
    <n v="772499"/>
    <n v="0"/>
    <n v="0"/>
    <n v="0"/>
    <n v="0"/>
    <m/>
  </r>
  <r>
    <n v="32"/>
    <s v="2021-02-03"/>
    <x v="3"/>
    <s v="instagram_blogger"/>
    <x v="7"/>
    <x v="3"/>
    <n v="374754"/>
    <n v="667352"/>
    <n v="194336"/>
    <n v="1.3480142413598821E-2"/>
    <n v="8996"/>
    <b v="0"/>
    <n v="342"/>
    <b v="0"/>
    <n v="51"/>
    <b v="0"/>
    <n v="254031"/>
    <n v="0"/>
    <n v="0"/>
    <n v="0"/>
    <n v="0"/>
    <m/>
  </r>
  <r>
    <n v="126"/>
    <s v="2021-02-12"/>
    <x v="21"/>
    <s v="youtube_blogger"/>
    <x v="8"/>
    <x v="3"/>
    <n v="10934"/>
    <n v="1299708"/>
    <n v="121652"/>
    <n v="1.3844648182514841E-2"/>
    <n v="17994"/>
    <b v="0"/>
    <n v="378"/>
    <b v="0"/>
    <n v="61"/>
    <b v="0"/>
    <n v="486841"/>
    <n v="0"/>
    <n v="0"/>
    <n v="0"/>
    <n v="0"/>
    <m/>
  </r>
  <r>
    <n v="300"/>
    <s v="2021-02-28"/>
    <x v="8"/>
    <s v="google_hot"/>
    <x v="9"/>
    <x v="2"/>
    <n v="89459845"/>
    <n v="11554"/>
    <n v="3529.73"/>
    <n v="1.6184871040332352E-2"/>
    <n v="187"/>
    <b v="0"/>
    <n v="5"/>
    <b v="0"/>
    <n v="1"/>
    <b v="0"/>
    <n v="8714"/>
    <n v="0"/>
    <n v="0"/>
    <n v="0"/>
    <n v="0"/>
    <m/>
  </r>
  <r>
    <n v="102"/>
    <s v="2021-02-10"/>
    <x v="19"/>
    <s v="google_hot"/>
    <x v="9"/>
    <x v="2"/>
    <n v="89459845"/>
    <n v="108748"/>
    <n v="51883.1"/>
    <n v="1.6524441828815243E-2"/>
    <n v="1797"/>
    <b v="0"/>
    <n v="57"/>
    <b v="0"/>
    <n v="11"/>
    <b v="0"/>
    <n v="86724"/>
    <n v="0"/>
    <n v="0"/>
    <n v="0"/>
    <n v="0"/>
    <m/>
  </r>
  <r>
    <n v="179"/>
    <s v="2021-02-17"/>
    <x v="18"/>
    <s v="google_hot"/>
    <x v="9"/>
    <x v="2"/>
    <n v="89459845"/>
    <n v="490058"/>
    <n v="116213"/>
    <n v="1.653681809091985E-2"/>
    <n v="8104"/>
    <b v="0"/>
    <n v="162"/>
    <b v="0"/>
    <n v="31"/>
    <b v="0"/>
    <n v="227726"/>
    <n v="0"/>
    <n v="0"/>
    <n v="0"/>
    <n v="0"/>
    <m/>
  </r>
  <r>
    <n v="190"/>
    <s v="2021-02-18"/>
    <x v="5"/>
    <s v="google_hot"/>
    <x v="9"/>
    <x v="2"/>
    <n v="89459845"/>
    <n v="527210"/>
    <n v="119542"/>
    <n v="1.7078583486656172E-2"/>
    <n v="9004"/>
    <b v="0"/>
    <n v="162"/>
    <b v="0"/>
    <n v="28"/>
    <b v="0"/>
    <n v="214368"/>
    <n v="0"/>
    <n v="0"/>
    <n v="0"/>
    <n v="0"/>
    <m/>
  </r>
  <r>
    <n v="80"/>
    <s v="2021-02-08"/>
    <x v="23"/>
    <s v="google_hot"/>
    <x v="9"/>
    <x v="2"/>
    <n v="89459845"/>
    <n v="51350"/>
    <n v="6918.85"/>
    <n v="1.7604673807205453E-2"/>
    <n v="904"/>
    <b v="0"/>
    <n v="20"/>
    <b v="0"/>
    <n v="2"/>
    <b v="0"/>
    <n v="16240"/>
    <n v="0"/>
    <n v="0"/>
    <n v="0"/>
    <n v="0"/>
    <m/>
  </r>
  <r>
    <n v="289"/>
    <s v="2021-02-27"/>
    <x v="14"/>
    <s v="google_hot"/>
    <x v="9"/>
    <x v="2"/>
    <n v="89459845"/>
    <n v="4662"/>
    <n v="1754.25"/>
    <n v="1.7803517803517802E-2"/>
    <n v="83"/>
    <b v="0"/>
    <n v="2"/>
    <b v="0"/>
    <n v="0"/>
    <b v="0"/>
    <n v="0"/>
    <n v="0"/>
    <n v="0"/>
    <n v="0"/>
    <n v="0"/>
    <m/>
  </r>
  <r>
    <n v="223"/>
    <s v="2021-02-21"/>
    <x v="6"/>
    <s v="google_hot"/>
    <x v="9"/>
    <x v="2"/>
    <n v="89459845"/>
    <n v="49655"/>
    <n v="9444.1200000000008"/>
    <n v="1.8266035645957104E-2"/>
    <n v="907"/>
    <b v="0"/>
    <n v="18"/>
    <b v="0"/>
    <n v="2"/>
    <b v="0"/>
    <n v="15962"/>
    <n v="0"/>
    <n v="0"/>
    <n v="0"/>
    <n v="0"/>
    <m/>
  </r>
  <r>
    <n v="36"/>
    <s v="2021-02-04"/>
    <x v="10"/>
    <s v="google_hot"/>
    <x v="9"/>
    <x v="2"/>
    <n v="89459845"/>
    <n v="196484"/>
    <n v="41269.599999999999"/>
    <n v="1.8317013090124387E-2"/>
    <n v="3599"/>
    <b v="0"/>
    <n v="55"/>
    <b v="0"/>
    <n v="9"/>
    <b v="0"/>
    <n v="68589"/>
    <n v="0"/>
    <n v="0"/>
    <n v="0"/>
    <n v="0"/>
    <m/>
  </r>
  <r>
    <n v="47"/>
    <s v="2021-02-05"/>
    <x v="16"/>
    <s v="google_hot"/>
    <x v="9"/>
    <x v="2"/>
    <n v="89459845"/>
    <n v="236719"/>
    <n v="96930.6"/>
    <n v="1.902677858558037E-2"/>
    <n v="4504"/>
    <b v="0"/>
    <n v="151"/>
    <b v="0"/>
    <n v="23"/>
    <b v="0"/>
    <n v="177882"/>
    <n v="0"/>
    <n v="0"/>
    <n v="0"/>
    <n v="0"/>
    <m/>
  </r>
  <r>
    <n v="168"/>
    <s v="2021-02-16"/>
    <x v="11"/>
    <s v="google_hot"/>
    <x v="9"/>
    <x v="2"/>
    <n v="89459845"/>
    <n v="373184"/>
    <n v="102053"/>
    <n v="1.9288072371805864E-2"/>
    <n v="7198"/>
    <b v="0"/>
    <n v="144"/>
    <b v="0"/>
    <n v="22"/>
    <b v="0"/>
    <n v="185482"/>
    <n v="0"/>
    <n v="0"/>
    <n v="0"/>
    <n v="0"/>
    <m/>
  </r>
  <r>
    <n v="245"/>
    <s v="2021-02-23"/>
    <x v="17"/>
    <s v="google_hot"/>
    <x v="9"/>
    <x v="2"/>
    <n v="89459845"/>
    <n v="22175"/>
    <n v="5409.21"/>
    <n v="1.9932356257046223E-2"/>
    <n v="442"/>
    <b v="0"/>
    <n v="9"/>
    <b v="0"/>
    <n v="2"/>
    <b v="0"/>
    <n v="15050"/>
    <n v="0"/>
    <n v="0"/>
    <n v="0"/>
    <n v="0"/>
    <m/>
  </r>
  <r>
    <n v="3"/>
    <s v="2021-02-01"/>
    <x v="1"/>
    <s v="google_hot"/>
    <x v="9"/>
    <x v="2"/>
    <n v="89459845"/>
    <n v="22850"/>
    <n v="5221.6000000000004"/>
    <n v="0.02"/>
    <n v="457"/>
    <b v="0"/>
    <n v="9"/>
    <b v="0"/>
    <n v="1"/>
    <b v="0"/>
    <n v="7981"/>
    <n v="0"/>
    <n v="0"/>
    <n v="0"/>
    <n v="0"/>
    <m/>
  </r>
  <r>
    <n v="25"/>
    <s v="2021-02-03"/>
    <x v="3"/>
    <s v="google_hot"/>
    <x v="9"/>
    <x v="2"/>
    <n v="89459845"/>
    <n v="134900"/>
    <n v="77345.5"/>
    <n v="0.02"/>
    <n v="2698"/>
    <b v="0"/>
    <n v="84"/>
    <b v="0"/>
    <n v="16"/>
    <b v="0"/>
    <n v="115856"/>
    <n v="0"/>
    <n v="0"/>
    <n v="0"/>
    <n v="0"/>
    <m/>
  </r>
  <r>
    <n v="58"/>
    <s v="2021-02-06"/>
    <x v="4"/>
    <s v="google_hot"/>
    <x v="9"/>
    <x v="2"/>
    <n v="89459845"/>
    <n v="44950"/>
    <n v="6768.87"/>
    <n v="0.02"/>
    <n v="899"/>
    <b v="0"/>
    <n v="13"/>
    <b v="0"/>
    <n v="1"/>
    <b v="0"/>
    <n v="8136"/>
    <n v="0"/>
    <n v="0"/>
    <n v="0"/>
    <n v="0"/>
    <m/>
  </r>
  <r>
    <n v="69"/>
    <s v="2021-02-07"/>
    <x v="12"/>
    <s v="google_hot"/>
    <x v="9"/>
    <x v="2"/>
    <n v="89459845"/>
    <n v="44650"/>
    <n v="6426"/>
    <n v="0.02"/>
    <n v="893"/>
    <b v="0"/>
    <n v="18"/>
    <b v="0"/>
    <n v="2"/>
    <b v="0"/>
    <n v="14152"/>
    <n v="0"/>
    <n v="0"/>
    <n v="0"/>
    <n v="0"/>
    <m/>
  </r>
  <r>
    <n v="91"/>
    <s v="2021-02-09"/>
    <x v="13"/>
    <s v="google_hot"/>
    <x v="9"/>
    <x v="2"/>
    <n v="89459845"/>
    <n v="44900"/>
    <n v="3095.21"/>
    <n v="0.02"/>
    <n v="898"/>
    <b v="0"/>
    <n v="5"/>
    <b v="0"/>
    <n v="1"/>
    <b v="0"/>
    <n v="7998"/>
    <n v="0"/>
    <n v="0"/>
    <n v="0"/>
    <n v="0"/>
    <m/>
  </r>
  <r>
    <n v="113"/>
    <s v="2021-02-11"/>
    <x v="25"/>
    <s v="google_hot"/>
    <x v="9"/>
    <x v="2"/>
    <n v="89459845"/>
    <n v="134600"/>
    <n v="26220.400000000001"/>
    <n v="0.02"/>
    <n v="2692"/>
    <b v="0"/>
    <n v="54"/>
    <b v="0"/>
    <n v="6"/>
    <b v="0"/>
    <n v="48990"/>
    <n v="0"/>
    <n v="0"/>
    <n v="0"/>
    <n v="0"/>
    <m/>
  </r>
  <r>
    <n v="135"/>
    <s v="2021-02-13"/>
    <x v="15"/>
    <s v="google_hot"/>
    <x v="9"/>
    <x v="2"/>
    <n v="89459845"/>
    <n v="225350"/>
    <n v="61588.1"/>
    <n v="0.02"/>
    <n v="4507"/>
    <b v="0"/>
    <n v="100"/>
    <b v="0"/>
    <n v="17"/>
    <b v="0"/>
    <n v="152660"/>
    <n v="0"/>
    <n v="0"/>
    <n v="0"/>
    <n v="0"/>
    <m/>
  </r>
  <r>
    <n v="157"/>
    <s v="2021-02-15"/>
    <x v="27"/>
    <s v="google_hot"/>
    <x v="9"/>
    <x v="2"/>
    <n v="89459845"/>
    <n v="315350"/>
    <n v="82930.7"/>
    <n v="0.02"/>
    <n v="6307"/>
    <b v="0"/>
    <n v="126"/>
    <b v="0"/>
    <n v="19"/>
    <b v="0"/>
    <n v="138073"/>
    <n v="0"/>
    <n v="0"/>
    <n v="0"/>
    <n v="0"/>
    <m/>
  </r>
  <r>
    <n v="212"/>
    <s v="2021-02-20"/>
    <x v="24"/>
    <s v="google_hot"/>
    <x v="9"/>
    <x v="2"/>
    <n v="89459845"/>
    <n v="540450"/>
    <n v="190469"/>
    <n v="0.02"/>
    <n v="10809"/>
    <b v="0"/>
    <n v="359"/>
    <b v="0"/>
    <n v="47"/>
    <b v="0"/>
    <n v="365378"/>
    <n v="0"/>
    <n v="0"/>
    <n v="0"/>
    <n v="0"/>
    <m/>
  </r>
  <r>
    <n v="234"/>
    <s v="2021-02-22"/>
    <x v="0"/>
    <s v="google_hot"/>
    <x v="9"/>
    <x v="2"/>
    <n v="89459845"/>
    <n v="90500"/>
    <n v="30645.4"/>
    <n v="0.02"/>
    <n v="1810"/>
    <b v="0"/>
    <n v="65"/>
    <b v="0"/>
    <n v="7"/>
    <b v="0"/>
    <n v="59045"/>
    <n v="0"/>
    <n v="0"/>
    <n v="0"/>
    <n v="0"/>
    <m/>
  </r>
  <r>
    <n v="256"/>
    <s v="2021-02-24"/>
    <x v="20"/>
    <s v="google_hot"/>
    <x v="9"/>
    <x v="2"/>
    <n v="89459845"/>
    <n v="45150"/>
    <n v="14306.2"/>
    <n v="0.02"/>
    <n v="903"/>
    <b v="0"/>
    <n v="18"/>
    <b v="0"/>
    <n v="3"/>
    <b v="0"/>
    <n v="23943"/>
    <n v="0"/>
    <n v="0"/>
    <n v="0"/>
    <n v="0"/>
    <m/>
  </r>
  <r>
    <n v="267"/>
    <s v="2021-02-25"/>
    <x v="9"/>
    <s v="google_hot"/>
    <x v="9"/>
    <x v="2"/>
    <n v="89459845"/>
    <n v="8750"/>
    <n v="1078.73"/>
    <n v="0.02"/>
    <n v="175"/>
    <b v="0"/>
    <n v="1"/>
    <b v="0"/>
    <n v="0"/>
    <b v="0"/>
    <n v="0"/>
    <n v="0"/>
    <n v="0"/>
    <n v="0"/>
    <n v="0"/>
    <m/>
  </r>
  <r>
    <n v="278"/>
    <s v="2021-02-26"/>
    <x v="7"/>
    <s v="google_hot"/>
    <x v="9"/>
    <x v="2"/>
    <n v="89459845"/>
    <n v="22450"/>
    <n v="1545.74"/>
    <n v="0.02"/>
    <n v="449"/>
    <b v="0"/>
    <n v="2"/>
    <b v="0"/>
    <n v="0"/>
    <b v="0"/>
    <n v="0"/>
    <n v="0"/>
    <n v="0"/>
    <n v="0"/>
    <n v="0"/>
    <m/>
  </r>
  <r>
    <n v="146"/>
    <s v="2021-02-14"/>
    <x v="26"/>
    <s v="google_hot"/>
    <x v="9"/>
    <x v="2"/>
    <n v="89459845"/>
    <n v="263754"/>
    <n v="56440.3"/>
    <n v="2.0507745854091312E-2"/>
    <n v="5409"/>
    <b v="0"/>
    <n v="90"/>
    <b v="0"/>
    <n v="11"/>
    <b v="0"/>
    <n v="84183"/>
    <n v="0"/>
    <n v="0"/>
    <n v="0"/>
    <n v="0"/>
    <m/>
  </r>
  <r>
    <n v="14"/>
    <s v="2021-02-02"/>
    <x v="2"/>
    <s v="google_hot"/>
    <x v="9"/>
    <x v="2"/>
    <n v="89459845"/>
    <n v="43806"/>
    <n v="11446.7"/>
    <n v="2.0704926265808336E-2"/>
    <n v="907"/>
    <b v="0"/>
    <n v="18"/>
    <b v="0"/>
    <n v="3"/>
    <b v="0"/>
    <n v="23943"/>
    <n v="0"/>
    <n v="0"/>
    <n v="0"/>
    <n v="0"/>
    <m/>
  </r>
  <r>
    <n v="124"/>
    <s v="2021-02-12"/>
    <x v="21"/>
    <s v="google_hot"/>
    <x v="9"/>
    <x v="2"/>
    <n v="89459845"/>
    <n v="161493"/>
    <n v="59745.3"/>
    <n v="2.230437232573548E-2"/>
    <n v="3602"/>
    <b v="0"/>
    <n v="72"/>
    <b v="0"/>
    <n v="14"/>
    <b v="0"/>
    <n v="122710"/>
    <n v="0"/>
    <n v="0"/>
    <n v="0"/>
    <n v="0"/>
    <m/>
  </r>
  <r>
    <n v="201"/>
    <s v="2021-02-19"/>
    <x v="22"/>
    <s v="google_hot"/>
    <x v="9"/>
    <x v="2"/>
    <n v="89459845"/>
    <n v="413291"/>
    <n v="9777.5499999999993"/>
    <n v="2.3963744673849659E-2"/>
    <n v="9904"/>
    <b v="0"/>
    <n v="14"/>
    <b v="0"/>
    <n v="2"/>
    <b v="0"/>
    <n v="15962"/>
    <n v="0"/>
    <n v="0"/>
    <n v="0"/>
    <n v="0"/>
    <m/>
  </r>
  <r>
    <n v="8"/>
    <s v="2021-02-01"/>
    <x v="1"/>
    <s v="facebook_retargeting"/>
    <x v="10"/>
    <x v="1"/>
    <n v="4387490"/>
    <n v="5544"/>
    <n v="1293.55"/>
    <n v="2.6695526695526696E-2"/>
    <n v="148"/>
    <b v="0"/>
    <n v="3"/>
    <b v="0"/>
    <n v="1"/>
    <b v="0"/>
    <n v="4981"/>
    <n v="0"/>
    <n v="0"/>
    <n v="0"/>
    <n v="0"/>
    <m/>
  </r>
  <r>
    <n v="228"/>
    <s v="2021-02-21"/>
    <x v="6"/>
    <s v="facebook_retargeting"/>
    <x v="10"/>
    <x v="1"/>
    <n v="4387490"/>
    <n v="10812"/>
    <n v="1555.96"/>
    <n v="2.737698853126156E-2"/>
    <n v="296"/>
    <b v="0"/>
    <n v="3"/>
    <b v="0"/>
    <n v="1"/>
    <b v="0"/>
    <n v="3993"/>
    <n v="0"/>
    <n v="0"/>
    <n v="0"/>
    <n v="0"/>
    <m/>
  </r>
  <r>
    <n v="41"/>
    <s v="2021-02-04"/>
    <x v="10"/>
    <s v="facebook_retargeting"/>
    <x v="10"/>
    <x v="1"/>
    <n v="4387490"/>
    <n v="43160"/>
    <n v="885.75"/>
    <n v="2.7664504170528268E-2"/>
    <n v="1194"/>
    <b v="0"/>
    <n v="4"/>
    <b v="0"/>
    <n v="1"/>
    <b v="0"/>
    <n v="5287"/>
    <n v="0"/>
    <n v="0"/>
    <n v="0"/>
    <n v="0"/>
    <m/>
  </r>
  <r>
    <n v="129"/>
    <s v="2021-02-12"/>
    <x v="21"/>
    <s v="facebook_retargeting"/>
    <x v="10"/>
    <x v="1"/>
    <n v="4387490"/>
    <n v="42587"/>
    <n v="11278.3"/>
    <n v="2.834198229506657E-2"/>
    <n v="1207"/>
    <b v="0"/>
    <n v="34"/>
    <b v="0"/>
    <n v="8"/>
    <b v="0"/>
    <n v="39848"/>
    <n v="0"/>
    <n v="0"/>
    <n v="0"/>
    <n v="0"/>
    <m/>
  </r>
  <r>
    <n v="206"/>
    <s v="2021-02-19"/>
    <x v="22"/>
    <s v="facebook_retargeting"/>
    <x v="10"/>
    <x v="1"/>
    <n v="4387490"/>
    <n v="115166"/>
    <n v="3173.41"/>
    <n v="2.8628240973898548E-2"/>
    <n v="3297"/>
    <b v="0"/>
    <n v="7"/>
    <b v="0"/>
    <n v="1"/>
    <b v="0"/>
    <n v="5199"/>
    <n v="0"/>
    <n v="0"/>
    <n v="0"/>
    <n v="0"/>
    <m/>
  </r>
  <r>
    <n v="283"/>
    <s v="2021-02-26"/>
    <x v="7"/>
    <s v="facebook_retargeting"/>
    <x v="10"/>
    <x v="1"/>
    <n v="4387490"/>
    <n v="4906"/>
    <n v="1071.1600000000001"/>
    <n v="2.914798206278027E-2"/>
    <n v="143"/>
    <b v="0"/>
    <n v="3"/>
    <b v="0"/>
    <n v="1"/>
    <b v="0"/>
    <n v="4981"/>
    <n v="0"/>
    <n v="0"/>
    <n v="0"/>
    <n v="0"/>
    <m/>
  </r>
  <r>
    <n v="74"/>
    <s v="2021-02-07"/>
    <x v="12"/>
    <s v="facebook_retargeting"/>
    <x v="10"/>
    <x v="1"/>
    <n v="4387490"/>
    <n v="9938"/>
    <n v="3435.44"/>
    <n v="2.9583417186556653E-2"/>
    <n v="294"/>
    <b v="0"/>
    <n v="6"/>
    <b v="0"/>
    <n v="1"/>
    <b v="0"/>
    <n v="4981"/>
    <n v="0"/>
    <n v="0"/>
    <n v="0"/>
    <n v="0"/>
    <m/>
  </r>
  <r>
    <n v="272"/>
    <s v="2021-02-25"/>
    <x v="9"/>
    <s v="facebook_retargeting"/>
    <x v="10"/>
    <x v="1"/>
    <n v="4387490"/>
    <n v="2214"/>
    <n v="1487.47"/>
    <n v="2.9810298102981029E-2"/>
    <n v="66"/>
    <b v="0"/>
    <n v="3"/>
    <b v="0"/>
    <n v="1"/>
    <b v="0"/>
    <n v="4461"/>
    <n v="0"/>
    <n v="0"/>
    <n v="0"/>
    <n v="0"/>
    <m/>
  </r>
  <r>
    <n v="96"/>
    <s v="2021-02-09"/>
    <x v="13"/>
    <s v="facebook_retargeting"/>
    <x v="10"/>
    <x v="1"/>
    <n v="4387490"/>
    <n v="9721"/>
    <n v="2152.37"/>
    <n v="2.9832321777594897E-2"/>
    <n v="290"/>
    <b v="0"/>
    <n v="6"/>
    <b v="0"/>
    <n v="1"/>
    <b v="0"/>
    <n v="4353"/>
    <n v="0"/>
    <n v="0"/>
    <n v="0"/>
    <n v="0"/>
    <m/>
  </r>
  <r>
    <n v="294"/>
    <s v="2021-02-27"/>
    <x v="14"/>
    <s v="facebook_retargeting"/>
    <x v="10"/>
    <x v="1"/>
    <n v="4387490"/>
    <n v="667"/>
    <n v="200.42"/>
    <n v="2.9985007496251874E-2"/>
    <n v="20"/>
    <b v="0"/>
    <n v="0"/>
    <b v="0"/>
    <n v="0"/>
    <b v="0"/>
    <n v="0"/>
    <n v="0"/>
    <n v="0"/>
    <n v="0"/>
    <n v="0"/>
    <m/>
  </r>
  <r>
    <n v="85"/>
    <s v="2021-02-08"/>
    <x v="23"/>
    <s v="facebook_retargeting"/>
    <x v="10"/>
    <x v="1"/>
    <n v="4387490"/>
    <n v="10067"/>
    <n v="4336.04"/>
    <n v="2.999900665540876E-2"/>
    <n v="302"/>
    <b v="0"/>
    <n v="10"/>
    <b v="0"/>
    <n v="2"/>
    <b v="0"/>
    <n v="10036"/>
    <n v="0"/>
    <n v="0"/>
    <n v="0"/>
    <n v="0"/>
    <m/>
  </r>
  <r>
    <n v="30"/>
    <s v="2021-02-03"/>
    <x v="3"/>
    <s v="facebook_retargeting"/>
    <x v="10"/>
    <x v="1"/>
    <n v="4387490"/>
    <n v="29867"/>
    <n v="5039.51"/>
    <n v="2.9999665182308233E-2"/>
    <n v="896"/>
    <b v="0"/>
    <n v="18"/>
    <b v="0"/>
    <n v="4"/>
    <b v="0"/>
    <n v="23560"/>
    <n v="0"/>
    <n v="0"/>
    <n v="0"/>
    <n v="0"/>
    <m/>
  </r>
  <r>
    <n v="63"/>
    <s v="2021-02-06"/>
    <x v="4"/>
    <s v="facebook_retargeting"/>
    <x v="10"/>
    <x v="1"/>
    <n v="4387490"/>
    <n v="10200"/>
    <n v="1420.15"/>
    <n v="0.03"/>
    <n v="306"/>
    <b v="0"/>
    <n v="6"/>
    <b v="0"/>
    <n v="1"/>
    <b v="0"/>
    <n v="5492"/>
    <n v="0"/>
    <n v="0"/>
    <n v="0"/>
    <n v="0"/>
    <m/>
  </r>
  <r>
    <n v="173"/>
    <s v="2021-02-16"/>
    <x v="11"/>
    <s v="facebook_retargeting"/>
    <x v="10"/>
    <x v="1"/>
    <n v="4387490"/>
    <n v="80233"/>
    <n v="31712"/>
    <n v="3.0000124636994752E-2"/>
    <n v="2407"/>
    <b v="0"/>
    <n v="48"/>
    <b v="0"/>
    <n v="12"/>
    <b v="0"/>
    <n v="59772"/>
    <n v="0"/>
    <n v="0"/>
    <n v="0"/>
    <n v="0"/>
    <m/>
  </r>
  <r>
    <n v="140"/>
    <s v="2021-02-13"/>
    <x v="15"/>
    <s v="facebook_retargeting"/>
    <x v="10"/>
    <x v="1"/>
    <n v="4387490"/>
    <n v="50333"/>
    <n v="8367.08"/>
    <n v="3.0000198676812428E-2"/>
    <n v="1510"/>
    <b v="0"/>
    <n v="19"/>
    <b v="0"/>
    <n v="4"/>
    <b v="0"/>
    <n v="18828"/>
    <n v="0"/>
    <n v="0"/>
    <n v="0"/>
    <n v="0"/>
    <m/>
  </r>
  <r>
    <n v="19"/>
    <s v="2021-02-02"/>
    <x v="2"/>
    <s v="facebook_retargeting"/>
    <x v="10"/>
    <x v="1"/>
    <n v="4387490"/>
    <n v="10033"/>
    <n v="169.75"/>
    <n v="3.000099671085418E-2"/>
    <n v="301"/>
    <b v="0"/>
    <n v="0"/>
    <b v="0"/>
    <n v="0"/>
    <b v="0"/>
    <n v="0"/>
    <n v="0"/>
    <n v="0"/>
    <n v="0"/>
    <n v="0"/>
    <m/>
  </r>
  <r>
    <n v="305"/>
    <s v="2021-02-28"/>
    <x v="8"/>
    <s v="facebook_retargeting"/>
    <x v="10"/>
    <x v="1"/>
    <n v="4387490"/>
    <n v="1933"/>
    <n v="224.81"/>
    <n v="3.0005173305742368E-2"/>
    <n v="58"/>
    <b v="0"/>
    <n v="0"/>
    <b v="0"/>
    <n v="0"/>
    <b v="0"/>
    <n v="0"/>
    <n v="0"/>
    <n v="0"/>
    <n v="0"/>
    <n v="0"/>
    <m/>
  </r>
  <r>
    <n v="195"/>
    <s v="2021-02-18"/>
    <x v="5"/>
    <s v="facebook_retargeting"/>
    <x v="10"/>
    <x v="1"/>
    <n v="4387490"/>
    <n v="97885"/>
    <n v="17176.7"/>
    <n v="3.0556265004852635E-2"/>
    <n v="2991"/>
    <b v="0"/>
    <n v="28"/>
    <b v="0"/>
    <n v="6"/>
    <b v="0"/>
    <n v="33930"/>
    <n v="0"/>
    <n v="0"/>
    <n v="0"/>
    <n v="0"/>
    <m/>
  </r>
  <r>
    <n v="52"/>
    <s v="2021-02-05"/>
    <x v="16"/>
    <s v="facebook_retargeting"/>
    <x v="10"/>
    <x v="1"/>
    <n v="4387490"/>
    <n v="48954"/>
    <n v="6790.74"/>
    <n v="3.0743146627446174E-2"/>
    <n v="1505"/>
    <b v="0"/>
    <n v="30"/>
    <b v="0"/>
    <n v="5"/>
    <b v="0"/>
    <n v="27060"/>
    <n v="0"/>
    <n v="0"/>
    <n v="0"/>
    <n v="0"/>
    <m/>
  </r>
  <r>
    <n v="250"/>
    <s v="2021-02-23"/>
    <x v="17"/>
    <s v="facebook_retargeting"/>
    <x v="10"/>
    <x v="1"/>
    <n v="4387490"/>
    <n v="4908"/>
    <n v="1238.0899999999999"/>
    <n v="3.1581092094539527E-2"/>
    <n v="155"/>
    <b v="0"/>
    <n v="3"/>
    <b v="0"/>
    <n v="1"/>
    <b v="0"/>
    <n v="5265"/>
    <n v="0"/>
    <n v="0"/>
    <n v="0"/>
    <n v="0"/>
    <m/>
  </r>
  <r>
    <n v="184"/>
    <s v="2021-02-17"/>
    <x v="18"/>
    <s v="facebook_retargeting"/>
    <x v="10"/>
    <x v="1"/>
    <n v="4387490"/>
    <n v="84332"/>
    <n v="31422.5"/>
    <n v="3.1992600673528437E-2"/>
    <n v="2698"/>
    <b v="0"/>
    <n v="54"/>
    <b v="0"/>
    <n v="11"/>
    <b v="0"/>
    <n v="45441"/>
    <n v="0"/>
    <n v="0"/>
    <n v="0"/>
    <n v="0"/>
    <m/>
  </r>
  <r>
    <n v="217"/>
    <s v="2021-02-20"/>
    <x v="24"/>
    <s v="facebook_retargeting"/>
    <x v="10"/>
    <x v="1"/>
    <n v="4387490"/>
    <n v="111784"/>
    <n v="73587.5"/>
    <n v="3.2151291776998499E-2"/>
    <n v="3594"/>
    <b v="0"/>
    <n v="116"/>
    <b v="0"/>
    <n v="24"/>
    <b v="0"/>
    <n v="119544"/>
    <n v="0"/>
    <n v="0"/>
    <n v="0"/>
    <n v="0"/>
    <m/>
  </r>
  <r>
    <n v="151"/>
    <s v="2021-02-14"/>
    <x v="26"/>
    <s v="facebook_retargeting"/>
    <x v="10"/>
    <x v="1"/>
    <n v="4387490"/>
    <n v="55495"/>
    <n v="4764.34"/>
    <n v="3.2255158122353363E-2"/>
    <n v="1790"/>
    <b v="0"/>
    <n v="10"/>
    <b v="0"/>
    <n v="2"/>
    <b v="0"/>
    <n v="10902"/>
    <n v="0"/>
    <n v="0"/>
    <n v="0"/>
    <n v="0"/>
    <m/>
  </r>
  <r>
    <n v="107"/>
    <s v="2021-02-10"/>
    <x v="19"/>
    <s v="facebook_retargeting"/>
    <x v="10"/>
    <x v="1"/>
    <n v="4387490"/>
    <n v="18399"/>
    <n v="12713"/>
    <n v="3.2556117180281535E-2"/>
    <n v="599"/>
    <b v="0"/>
    <n v="22"/>
    <b v="0"/>
    <n v="5"/>
    <b v="0"/>
    <n v="27065"/>
    <n v="0"/>
    <n v="0"/>
    <n v="0"/>
    <n v="0"/>
    <m/>
  </r>
  <r>
    <n v="162"/>
    <s v="2021-02-15"/>
    <x v="27"/>
    <s v="facebook_retargeting"/>
    <x v="10"/>
    <x v="1"/>
    <n v="4387490"/>
    <n v="63986"/>
    <n v="14609.5"/>
    <n v="3.2804050886131343E-2"/>
    <n v="2099"/>
    <b v="0"/>
    <n v="28"/>
    <b v="0"/>
    <n v="5"/>
    <b v="0"/>
    <n v="24905"/>
    <n v="0"/>
    <n v="0"/>
    <n v="0"/>
    <n v="0"/>
    <m/>
  </r>
  <r>
    <n v="261"/>
    <s v="2021-02-24"/>
    <x v="20"/>
    <s v="facebook_retargeting"/>
    <x v="10"/>
    <x v="1"/>
    <n v="4387490"/>
    <n v="8966"/>
    <n v="2857.1"/>
    <n v="3.3125139415569931E-2"/>
    <n v="297"/>
    <b v="0"/>
    <n v="6"/>
    <b v="0"/>
    <n v="1"/>
    <b v="0"/>
    <n v="4981"/>
    <n v="0"/>
    <n v="0"/>
    <n v="0"/>
    <n v="0"/>
    <m/>
  </r>
  <r>
    <n v="118"/>
    <s v="2021-02-11"/>
    <x v="25"/>
    <s v="facebook_retargeting"/>
    <x v="10"/>
    <x v="1"/>
    <n v="4387490"/>
    <n v="26774"/>
    <n v="17711.099999999999"/>
    <n v="3.3353253156046911E-2"/>
    <n v="893"/>
    <b v="0"/>
    <n v="27"/>
    <b v="0"/>
    <n v="6"/>
    <b v="0"/>
    <n v="29886"/>
    <n v="0"/>
    <n v="0"/>
    <n v="0"/>
    <n v="0"/>
    <m/>
  </r>
  <r>
    <n v="239"/>
    <s v="2021-02-22"/>
    <x v="0"/>
    <s v="facebook_retargeting"/>
    <x v="10"/>
    <x v="1"/>
    <n v="4387490"/>
    <n v="17821"/>
    <n v="5792.48"/>
    <n v="3.3555917176364962E-2"/>
    <n v="598"/>
    <b v="0"/>
    <n v="12"/>
    <b v="0"/>
    <n v="3"/>
    <b v="0"/>
    <n v="12168"/>
    <n v="0"/>
    <n v="0"/>
    <n v="0"/>
    <n v="0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8">
  <r>
    <n v="242"/>
    <s v="2021-02-22"/>
    <x v="0"/>
    <x v="0"/>
    <x v="0"/>
    <x v="0"/>
    <x v="0"/>
    <n v="105873774"/>
    <n v="60021.599999999999"/>
    <n v="7.9424768592833953E-5"/>
    <n v="8409"/>
    <b v="0"/>
    <n v="168"/>
    <b v="0"/>
    <n v="20"/>
    <b v="0"/>
    <n v="80600"/>
    <n v="0"/>
    <n v="0"/>
    <n v="0"/>
    <n v="0"/>
  </r>
  <r>
    <n v="11"/>
    <s v="2021-02-01"/>
    <x v="1"/>
    <x v="0"/>
    <x v="0"/>
    <x v="0"/>
    <x v="0"/>
    <n v="20900000"/>
    <n v="931.99"/>
    <n v="1E-4"/>
    <n v="2090"/>
    <b v="0"/>
    <n v="3"/>
    <b v="0"/>
    <n v="0"/>
    <b v="0"/>
    <n v="0"/>
    <n v="0"/>
    <n v="0"/>
    <n v="0"/>
    <n v="0"/>
  </r>
  <r>
    <n v="22"/>
    <s v="2021-02-02"/>
    <x v="2"/>
    <x v="0"/>
    <x v="0"/>
    <x v="0"/>
    <x v="0"/>
    <n v="42000000"/>
    <n v="46159.8"/>
    <n v="1E-4"/>
    <n v="4200"/>
    <b v="0"/>
    <n v="92"/>
    <b v="0"/>
    <n v="13"/>
    <b v="0"/>
    <n v="51753"/>
    <n v="0"/>
    <n v="0"/>
    <n v="0"/>
    <n v="0"/>
  </r>
  <r>
    <n v="33"/>
    <s v="2021-02-03"/>
    <x v="3"/>
    <x v="0"/>
    <x v="0"/>
    <x v="0"/>
    <x v="0"/>
    <n v="125910000"/>
    <n v="29378.3"/>
    <n v="1E-4"/>
    <n v="12591"/>
    <b v="0"/>
    <n v="68"/>
    <b v="0"/>
    <n v="13"/>
    <b v="0"/>
    <n v="51753"/>
    <n v="0"/>
    <n v="0"/>
    <n v="0"/>
    <n v="0"/>
  </r>
  <r>
    <n v="66"/>
    <s v="2021-02-06"/>
    <x v="4"/>
    <x v="0"/>
    <x v="0"/>
    <x v="0"/>
    <x v="0"/>
    <n v="42070000"/>
    <n v="38185.199999999997"/>
    <n v="1E-4"/>
    <n v="4207"/>
    <b v="0"/>
    <n v="84"/>
    <b v="0"/>
    <n v="10"/>
    <b v="0"/>
    <n v="48820"/>
    <n v="0"/>
    <n v="0"/>
    <n v="0"/>
    <n v="0"/>
  </r>
  <r>
    <n v="198"/>
    <s v="2021-02-18"/>
    <x v="5"/>
    <x v="0"/>
    <x v="0"/>
    <x v="0"/>
    <x v="0"/>
    <n v="419970000"/>
    <n v="339735"/>
    <n v="1E-4"/>
    <n v="41997"/>
    <b v="0"/>
    <n v="840"/>
    <b v="0"/>
    <n v="114"/>
    <b v="0"/>
    <n v="516420"/>
    <n v="0"/>
    <n v="0"/>
    <n v="0"/>
    <n v="0"/>
  </r>
  <r>
    <n v="231"/>
    <s v="2021-02-21"/>
    <x v="6"/>
    <x v="0"/>
    <x v="0"/>
    <x v="0"/>
    <x v="0"/>
    <n v="42080000"/>
    <n v="25023.200000000001"/>
    <n v="1E-4"/>
    <n v="4208"/>
    <b v="0"/>
    <n v="67"/>
    <b v="0"/>
    <n v="10"/>
    <b v="0"/>
    <n v="31710"/>
    <n v="0"/>
    <n v="0"/>
    <n v="0"/>
    <n v="0"/>
  </r>
  <r>
    <n v="286"/>
    <s v="2021-02-26"/>
    <x v="7"/>
    <x v="0"/>
    <x v="0"/>
    <x v="0"/>
    <x v="0"/>
    <n v="20930000"/>
    <n v="8087.73"/>
    <n v="1E-4"/>
    <n v="2093"/>
    <b v="0"/>
    <n v="22"/>
    <b v="0"/>
    <n v="3"/>
    <b v="0"/>
    <n v="12213"/>
    <n v="0"/>
    <n v="0"/>
    <n v="0"/>
    <n v="0"/>
  </r>
  <r>
    <n v="308"/>
    <s v="2021-02-28"/>
    <x v="8"/>
    <x v="0"/>
    <x v="0"/>
    <x v="0"/>
    <x v="0"/>
    <n v="8490000"/>
    <n v="6822.62"/>
    <n v="1E-4"/>
    <n v="849"/>
    <b v="0"/>
    <n v="18"/>
    <b v="0"/>
    <n v="2"/>
    <b v="0"/>
    <n v="7030"/>
    <n v="0"/>
    <n v="0"/>
    <n v="0"/>
    <n v="0"/>
  </r>
  <r>
    <n v="275"/>
    <s v="2021-02-25"/>
    <x v="9"/>
    <x v="0"/>
    <x v="0"/>
    <x v="0"/>
    <x v="0"/>
    <n v="2885291"/>
    <n v="7583.66"/>
    <n v="2.9390449698141365E-4"/>
    <n v="848"/>
    <b v="0"/>
    <n v="17"/>
    <b v="0"/>
    <n v="3"/>
    <b v="0"/>
    <n v="11943"/>
    <n v="0"/>
    <n v="0"/>
    <n v="0"/>
    <n v="0"/>
  </r>
  <r>
    <n v="44"/>
    <s v="2021-02-04"/>
    <x v="10"/>
    <x v="0"/>
    <x v="0"/>
    <x v="0"/>
    <x v="0"/>
    <n v="41924802"/>
    <n v="177746"/>
    <n v="4.0086056935939731E-4"/>
    <n v="16806"/>
    <b v="0"/>
    <n v="336"/>
    <b v="0"/>
    <n v="60"/>
    <b v="0"/>
    <n v="204540"/>
    <n v="0"/>
    <n v="0"/>
    <n v="0"/>
    <n v="0"/>
  </r>
  <r>
    <n v="176"/>
    <s v="2021-02-16"/>
    <x v="11"/>
    <x v="0"/>
    <x v="0"/>
    <x v="0"/>
    <x v="0"/>
    <n v="56876855"/>
    <n v="206424"/>
    <n v="5.9060930847881798E-4"/>
    <n v="33592"/>
    <b v="0"/>
    <n v="416"/>
    <b v="0"/>
    <n v="62"/>
    <b v="0"/>
    <n v="246822"/>
    <n v="0"/>
    <n v="0"/>
    <n v="0"/>
    <n v="0"/>
  </r>
  <r>
    <n v="77"/>
    <s v="2021-02-07"/>
    <x v="12"/>
    <x v="0"/>
    <x v="0"/>
    <x v="0"/>
    <x v="0"/>
    <n v="3957603"/>
    <n v="79987.7"/>
    <n v="1.0620064720993996E-3"/>
    <n v="4203"/>
    <b v="0"/>
    <n v="142"/>
    <b v="0"/>
    <n v="27"/>
    <b v="0"/>
    <n v="90504"/>
    <n v="0"/>
    <n v="0"/>
    <n v="0"/>
    <n v="0"/>
  </r>
  <r>
    <n v="99"/>
    <s v="2021-02-09"/>
    <x v="13"/>
    <x v="0"/>
    <x v="0"/>
    <x v="0"/>
    <x v="0"/>
    <n v="3736884"/>
    <n v="44731.7"/>
    <n v="1.121255034943552E-3"/>
    <n v="4190"/>
    <b v="0"/>
    <n v="84"/>
    <b v="0"/>
    <n v="13"/>
    <b v="0"/>
    <n v="51259"/>
    <n v="0"/>
    <n v="0"/>
    <n v="0"/>
    <n v="0"/>
  </r>
  <r>
    <n v="287"/>
    <s v="2021-02-27"/>
    <x v="14"/>
    <x v="1"/>
    <x v="1"/>
    <x v="1"/>
    <x v="1"/>
    <n v="213771"/>
    <n v="5003.33"/>
    <n v="1.1273746205051199E-3"/>
    <n v="241"/>
    <b v="0"/>
    <n v="9"/>
    <b v="0"/>
    <n v="1"/>
    <b v="0"/>
    <n v="4223"/>
    <n v="0"/>
    <n v="0"/>
    <n v="0"/>
    <n v="0"/>
  </r>
  <r>
    <n v="143"/>
    <s v="2021-02-13"/>
    <x v="15"/>
    <x v="0"/>
    <x v="0"/>
    <x v="0"/>
    <x v="0"/>
    <n v="17890507"/>
    <n v="390105"/>
    <n v="1.173415599680881E-3"/>
    <n v="20993"/>
    <b v="0"/>
    <n v="734"/>
    <b v="0"/>
    <n v="118"/>
    <b v="0"/>
    <n v="353174"/>
    <n v="0"/>
    <n v="0"/>
    <n v="0"/>
    <n v="0"/>
  </r>
  <r>
    <n v="237"/>
    <s v="2021-02-22"/>
    <x v="0"/>
    <x v="2"/>
    <x v="2"/>
    <x v="1"/>
    <x v="2"/>
    <n v="4565811"/>
    <n v="33474.699999999997"/>
    <n v="1.1820463002082215E-3"/>
    <n v="5397"/>
    <b v="0"/>
    <n v="108"/>
    <b v="0"/>
    <n v="9"/>
    <b v="0"/>
    <n v="53829"/>
    <n v="0"/>
    <n v="0"/>
    <n v="0"/>
    <n v="0"/>
  </r>
  <r>
    <n v="48"/>
    <s v="2021-02-05"/>
    <x v="16"/>
    <x v="3"/>
    <x v="3"/>
    <x v="2"/>
    <x v="3"/>
    <n v="9914040"/>
    <n v="56875.199999999997"/>
    <n v="1.2096985688982494E-3"/>
    <n v="11993"/>
    <b v="0"/>
    <n v="139"/>
    <b v="0"/>
    <n v="14"/>
    <b v="0"/>
    <n v="49644"/>
    <n v="0"/>
    <n v="0"/>
    <n v="0"/>
    <n v="0"/>
  </r>
  <r>
    <n v="243"/>
    <s v="2021-02-23"/>
    <x v="17"/>
    <x v="1"/>
    <x v="1"/>
    <x v="1"/>
    <x v="1"/>
    <n v="924525"/>
    <n v="9858.2800000000007"/>
    <n v="1.3012087288066846E-3"/>
    <n v="1203"/>
    <b v="0"/>
    <n v="28"/>
    <b v="0"/>
    <n v="2"/>
    <b v="0"/>
    <n v="9962"/>
    <n v="0"/>
    <n v="0"/>
    <n v="0"/>
    <n v="0"/>
  </r>
  <r>
    <n v="304"/>
    <s v="2021-02-28"/>
    <x v="8"/>
    <x v="4"/>
    <x v="4"/>
    <x v="1"/>
    <x v="4"/>
    <n v="775780"/>
    <n v="760.75"/>
    <n v="1.3199618448529221E-3"/>
    <n v="1024"/>
    <b v="0"/>
    <n v="4"/>
    <b v="0"/>
    <n v="0"/>
    <b v="0"/>
    <n v="0"/>
    <n v="0"/>
    <n v="0"/>
    <n v="0"/>
    <n v="0"/>
  </r>
  <r>
    <n v="183"/>
    <s v="2021-02-17"/>
    <x v="18"/>
    <x v="4"/>
    <x v="4"/>
    <x v="1"/>
    <x v="4"/>
    <n v="32964848"/>
    <n v="162819"/>
    <n v="1.3926046314546938E-3"/>
    <n v="45907"/>
    <b v="0"/>
    <n v="974"/>
    <b v="0"/>
    <n v="46"/>
    <b v="0"/>
    <n v="121900"/>
    <n v="0"/>
    <n v="0"/>
    <n v="0"/>
    <n v="0"/>
  </r>
  <r>
    <n v="105"/>
    <s v="2021-02-10"/>
    <x v="19"/>
    <x v="2"/>
    <x v="2"/>
    <x v="1"/>
    <x v="2"/>
    <n v="3858193"/>
    <n v="38890.300000000003"/>
    <n v="1.4011740729403636E-3"/>
    <n v="5406"/>
    <b v="0"/>
    <n v="186"/>
    <b v="0"/>
    <n v="14"/>
    <b v="0"/>
    <n v="83734"/>
    <n v="0"/>
    <n v="0"/>
    <n v="0"/>
    <n v="0"/>
  </r>
  <r>
    <n v="264"/>
    <s v="2021-02-24"/>
    <x v="20"/>
    <x v="0"/>
    <x v="0"/>
    <x v="0"/>
    <x v="0"/>
    <n v="2770687"/>
    <n v="34169.9"/>
    <n v="1.5176741364145427E-3"/>
    <n v="4205"/>
    <b v="0"/>
    <n v="84"/>
    <b v="0"/>
    <n v="16"/>
    <b v="0"/>
    <n v="63696"/>
    <n v="0"/>
    <n v="0"/>
    <n v="0"/>
    <n v="0"/>
  </r>
  <r>
    <n v="132"/>
    <s v="2021-02-12"/>
    <x v="21"/>
    <x v="0"/>
    <x v="0"/>
    <x v="0"/>
    <x v="0"/>
    <n v="10819771"/>
    <n v="145201"/>
    <n v="1.5534524714062802E-3"/>
    <n v="16808"/>
    <b v="0"/>
    <n v="336"/>
    <b v="0"/>
    <n v="49"/>
    <b v="0"/>
    <n v="195069"/>
    <n v="0"/>
    <n v="0"/>
    <n v="0"/>
    <n v="0"/>
  </r>
  <r>
    <n v="110"/>
    <s v="2021-02-10"/>
    <x v="19"/>
    <x v="0"/>
    <x v="0"/>
    <x v="0"/>
    <x v="0"/>
    <n v="5219501"/>
    <n v="179519"/>
    <n v="1.6076249434572385E-3"/>
    <n v="8391"/>
    <b v="0"/>
    <n v="302"/>
    <b v="0"/>
    <n v="60"/>
    <b v="0"/>
    <n v="196680"/>
    <n v="0"/>
    <n v="0"/>
    <n v="0"/>
    <n v="0"/>
  </r>
  <r>
    <n v="26"/>
    <s v="2021-02-03"/>
    <x v="3"/>
    <x v="3"/>
    <x v="3"/>
    <x v="2"/>
    <x v="3"/>
    <n v="4371854"/>
    <n v="49498.9"/>
    <n v="1.6484996982973356E-3"/>
    <n v="7207"/>
    <b v="0"/>
    <n v="144"/>
    <b v="0"/>
    <n v="13"/>
    <b v="0"/>
    <n v="38753"/>
    <n v="0"/>
    <n v="0"/>
    <n v="0"/>
    <n v="0"/>
  </r>
  <r>
    <n v="199"/>
    <s v="2021-02-19"/>
    <x v="22"/>
    <x v="1"/>
    <x v="1"/>
    <x v="1"/>
    <x v="1"/>
    <n v="15345139"/>
    <n v="53253.9"/>
    <n v="1.7208706939702534E-3"/>
    <n v="26407"/>
    <b v="0"/>
    <n v="71"/>
    <b v="0"/>
    <n v="10"/>
    <b v="0"/>
    <n v="44550"/>
    <n v="0"/>
    <n v="0"/>
    <n v="0"/>
    <n v="0"/>
  </r>
  <r>
    <n v="50"/>
    <s v="2021-02-05"/>
    <x v="16"/>
    <x v="2"/>
    <x v="2"/>
    <x v="1"/>
    <x v="2"/>
    <n v="7485780"/>
    <n v="258306"/>
    <n v="1.8031521097333879E-3"/>
    <n v="13498"/>
    <b v="0"/>
    <n v="526"/>
    <b v="0"/>
    <n v="76"/>
    <b v="0"/>
    <n v="454556"/>
    <n v="0"/>
    <n v="0"/>
    <n v="0"/>
    <n v="0"/>
  </r>
  <r>
    <n v="88"/>
    <s v="2021-02-08"/>
    <x v="23"/>
    <x v="0"/>
    <x v="0"/>
    <x v="0"/>
    <x v="0"/>
    <n v="2233790"/>
    <n v="31883.9"/>
    <n v="1.8788695445856594E-3"/>
    <n v="4197"/>
    <b v="0"/>
    <n v="84"/>
    <b v="0"/>
    <n v="10"/>
    <b v="0"/>
    <n v="42280"/>
    <n v="0"/>
    <n v="0"/>
    <n v="0"/>
    <n v="0"/>
  </r>
  <r>
    <n v="220"/>
    <s v="2021-02-20"/>
    <x v="24"/>
    <x v="0"/>
    <x v="0"/>
    <x v="0"/>
    <x v="0"/>
    <n v="26012342"/>
    <n v="750361"/>
    <n v="1.9378493485899886E-3"/>
    <n v="50408"/>
    <b v="0"/>
    <n v="1678"/>
    <b v="0"/>
    <n v="252"/>
    <b v="0"/>
    <n v="1003210"/>
    <n v="0"/>
    <n v="0"/>
    <n v="0"/>
    <n v="0"/>
  </r>
  <r>
    <n v="70"/>
    <s v="2021-02-07"/>
    <x v="12"/>
    <x v="3"/>
    <x v="3"/>
    <x v="2"/>
    <x v="3"/>
    <n v="1137473"/>
    <n v="18102.099999999999"/>
    <n v="2.1134567589736197E-3"/>
    <n v="2404"/>
    <b v="0"/>
    <n v="48"/>
    <b v="0"/>
    <n v="5"/>
    <b v="0"/>
    <n v="17845"/>
    <n v="0"/>
    <n v="0"/>
    <n v="0"/>
    <n v="0"/>
  </r>
  <r>
    <n v="72"/>
    <s v="2021-02-07"/>
    <x v="12"/>
    <x v="2"/>
    <x v="2"/>
    <x v="1"/>
    <x v="2"/>
    <n v="1246126"/>
    <n v="37965.9"/>
    <n v="2.1635051351147475E-3"/>
    <n v="2696"/>
    <b v="0"/>
    <n v="100"/>
    <b v="0"/>
    <n v="11"/>
    <b v="0"/>
    <n v="65791"/>
    <n v="0"/>
    <n v="0"/>
    <n v="0"/>
    <n v="0"/>
  </r>
  <r>
    <n v="112"/>
    <s v="2021-02-11"/>
    <x v="25"/>
    <x v="5"/>
    <x v="5"/>
    <x v="1"/>
    <x v="5"/>
    <n v="4564542"/>
    <n v="188516"/>
    <n v="2.1677969005433621E-3"/>
    <n v="9895"/>
    <b v="0"/>
    <n v="304"/>
    <b v="0"/>
    <n v="28"/>
    <b v="0"/>
    <n v="131068"/>
    <n v="0"/>
    <n v="0"/>
    <n v="0"/>
    <n v="0"/>
  </r>
  <r>
    <n v="191"/>
    <s v="2021-02-18"/>
    <x v="5"/>
    <x v="3"/>
    <x v="3"/>
    <x v="2"/>
    <x v="3"/>
    <n v="10593685"/>
    <n v="200986"/>
    <n v="2.2659726053776376E-3"/>
    <n v="24005"/>
    <b v="0"/>
    <n v="480"/>
    <b v="0"/>
    <n v="43"/>
    <b v="0"/>
    <n v="93353"/>
    <n v="0"/>
    <n v="0"/>
    <n v="0"/>
    <n v="0"/>
  </r>
  <r>
    <n v="187"/>
    <s v="2021-02-17"/>
    <x v="18"/>
    <x v="0"/>
    <x v="0"/>
    <x v="0"/>
    <x v="0"/>
    <n v="16553044"/>
    <n v="523398"/>
    <n v="2.2838699637359751E-3"/>
    <n v="37805"/>
    <b v="0"/>
    <n v="756"/>
    <b v="0"/>
    <n v="142"/>
    <b v="0"/>
    <n v="565302"/>
    <n v="0"/>
    <n v="0"/>
    <n v="0"/>
    <n v="0"/>
  </r>
  <r>
    <n v="297"/>
    <s v="2021-02-27"/>
    <x v="14"/>
    <x v="0"/>
    <x v="0"/>
    <x v="0"/>
    <x v="0"/>
    <n v="182546"/>
    <n v="2791.06"/>
    <n v="2.3336583655626528E-3"/>
    <n v="426"/>
    <b v="0"/>
    <n v="9"/>
    <b v="0"/>
    <n v="1"/>
    <b v="0"/>
    <n v="3981"/>
    <n v="0"/>
    <n v="0"/>
    <n v="0"/>
    <n v="0"/>
  </r>
  <r>
    <n v="193"/>
    <s v="2021-02-18"/>
    <x v="5"/>
    <x v="2"/>
    <x v="2"/>
    <x v="1"/>
    <x v="2"/>
    <n v="11212959"/>
    <n v="241388"/>
    <n v="2.4087308265374019E-3"/>
    <n v="27009"/>
    <b v="0"/>
    <n v="599"/>
    <b v="0"/>
    <n v="72"/>
    <b v="0"/>
    <n v="430632"/>
    <n v="0"/>
    <n v="0"/>
    <n v="0"/>
    <n v="0"/>
  </r>
  <r>
    <n v="209"/>
    <s v="2021-02-19"/>
    <x v="22"/>
    <x v="0"/>
    <x v="0"/>
    <x v="0"/>
    <x v="0"/>
    <n v="19065489"/>
    <n v="492126"/>
    <n v="2.4236986525758663E-3"/>
    <n v="46209"/>
    <b v="0"/>
    <n v="924"/>
    <b v="0"/>
    <n v="139"/>
    <b v="0"/>
    <n v="556417"/>
    <n v="0"/>
    <n v="0"/>
    <n v="0"/>
    <n v="0"/>
  </r>
  <r>
    <n v="121"/>
    <s v="2021-02-11"/>
    <x v="25"/>
    <x v="0"/>
    <x v="0"/>
    <x v="0"/>
    <x v="0"/>
    <n v="5125187"/>
    <n v="193124"/>
    <n v="2.4588371116995339E-3"/>
    <n v="12602"/>
    <b v="0"/>
    <n v="482"/>
    <b v="0"/>
    <n v="57"/>
    <b v="0"/>
    <n v="226917"/>
    <n v="0"/>
    <n v="0"/>
    <n v="0"/>
    <n v="0"/>
  </r>
  <r>
    <n v="145"/>
    <s v="2021-02-14"/>
    <x v="26"/>
    <x v="5"/>
    <x v="5"/>
    <x v="1"/>
    <x v="5"/>
    <n v="7936534"/>
    <n v="197948"/>
    <n v="2.4944138083450532E-3"/>
    <n v="19797"/>
    <b v="0"/>
    <n v="396"/>
    <b v="0"/>
    <n v="30"/>
    <b v="0"/>
    <n v="149430"/>
    <n v="0"/>
    <n v="0"/>
    <n v="0"/>
    <n v="0"/>
  </r>
  <r>
    <n v="248"/>
    <s v="2021-02-23"/>
    <x v="17"/>
    <x v="2"/>
    <x v="2"/>
    <x v="1"/>
    <x v="2"/>
    <n v="536236"/>
    <n v="557.25"/>
    <n v="2.5156833931328742E-3"/>
    <n v="1349"/>
    <b v="0"/>
    <n v="1"/>
    <b v="0"/>
    <n v="0"/>
    <b v="0"/>
    <n v="0"/>
    <n v="0"/>
    <n v="0"/>
    <n v="0"/>
    <n v="0"/>
  </r>
  <r>
    <n v="55"/>
    <s v="2021-02-05"/>
    <x v="16"/>
    <x v="0"/>
    <x v="0"/>
    <x v="0"/>
    <x v="0"/>
    <n v="8238872"/>
    <n v="427922"/>
    <n v="2.5485284878803798E-3"/>
    <n v="20997"/>
    <b v="0"/>
    <n v="796"/>
    <b v="0"/>
    <n v="119"/>
    <b v="0"/>
    <n v="471240"/>
    <n v="0"/>
    <n v="0"/>
    <n v="0"/>
    <n v="0"/>
  </r>
  <r>
    <n v="172"/>
    <s v="2021-02-16"/>
    <x v="11"/>
    <x v="4"/>
    <x v="4"/>
    <x v="1"/>
    <x v="4"/>
    <n v="15988504"/>
    <n v="103731"/>
    <n v="2.5514582227330338E-3"/>
    <n v="40794"/>
    <b v="0"/>
    <n v="816"/>
    <b v="0"/>
    <n v="24"/>
    <b v="0"/>
    <n v="41424"/>
    <n v="0"/>
    <n v="0"/>
    <n v="0"/>
    <n v="0"/>
  </r>
  <r>
    <n v="128"/>
    <s v="2021-02-12"/>
    <x v="21"/>
    <x v="4"/>
    <x v="4"/>
    <x v="1"/>
    <x v="4"/>
    <n v="7156880"/>
    <n v="49060.3"/>
    <n v="2.8491465554822772E-3"/>
    <n v="20391"/>
    <b v="0"/>
    <n v="408"/>
    <b v="0"/>
    <n v="15"/>
    <b v="0"/>
    <n v="29715"/>
    <n v="0"/>
    <n v="0"/>
    <n v="0"/>
    <n v="0"/>
  </r>
  <r>
    <n v="35"/>
    <s v="2021-02-04"/>
    <x v="10"/>
    <x v="5"/>
    <x v="5"/>
    <x v="1"/>
    <x v="5"/>
    <n v="4597702"/>
    <n v="115389"/>
    <n v="2.8723044686236733E-3"/>
    <n v="13206"/>
    <b v="0"/>
    <n v="143"/>
    <b v="0"/>
    <n v="17"/>
    <b v="0"/>
    <n v="82909"/>
    <n v="0"/>
    <n v="0"/>
    <n v="0"/>
    <n v="0"/>
  </r>
  <r>
    <n v="127"/>
    <s v="2021-02-12"/>
    <x v="21"/>
    <x v="2"/>
    <x v="2"/>
    <x v="1"/>
    <x v="2"/>
    <n v="3735390"/>
    <n v="26659.9"/>
    <n v="2.8928706239509127E-3"/>
    <n v="10806"/>
    <b v="0"/>
    <n v="115"/>
    <b v="0"/>
    <n v="9"/>
    <b v="0"/>
    <n v="53523"/>
    <n v="0"/>
    <n v="0"/>
    <n v="0"/>
    <n v="0"/>
  </r>
  <r>
    <n v="210"/>
    <s v="2021-02-20"/>
    <x v="24"/>
    <x v="1"/>
    <x v="1"/>
    <x v="1"/>
    <x v="1"/>
    <n v="9916906"/>
    <n v="56874.2"/>
    <n v="2.9037282394327422E-3"/>
    <n v="28796"/>
    <b v="0"/>
    <n v="88"/>
    <b v="0"/>
    <n v="12"/>
    <b v="0"/>
    <n v="59772"/>
    <n v="0"/>
    <n v="0"/>
    <n v="0"/>
    <n v="0"/>
  </r>
  <r>
    <n v="6"/>
    <s v="2021-02-01"/>
    <x v="1"/>
    <x v="2"/>
    <x v="2"/>
    <x v="1"/>
    <x v="2"/>
    <n v="444857"/>
    <n v="9540.01"/>
    <n v="3.0166997484584934E-3"/>
    <n v="1342"/>
    <b v="0"/>
    <n v="27"/>
    <b v="0"/>
    <n v="3"/>
    <b v="0"/>
    <n v="17943"/>
    <n v="0"/>
    <n v="0"/>
    <n v="0"/>
    <n v="0"/>
  </r>
  <r>
    <n v="259"/>
    <s v="2021-02-24"/>
    <x v="20"/>
    <x v="2"/>
    <x v="2"/>
    <x v="1"/>
    <x v="2"/>
    <n v="869482"/>
    <n v="23908.400000000001"/>
    <n v="3.1087475071364329E-3"/>
    <n v="2703"/>
    <b v="0"/>
    <n v="42"/>
    <b v="0"/>
    <n v="7"/>
    <b v="0"/>
    <n v="36456"/>
    <n v="0"/>
    <n v="0"/>
    <n v="0"/>
    <n v="0"/>
  </r>
  <r>
    <n v="23"/>
    <s v="2021-02-03"/>
    <x v="3"/>
    <x v="1"/>
    <x v="1"/>
    <x v="1"/>
    <x v="1"/>
    <n v="2313889"/>
    <n v="65284.4"/>
    <n v="3.1103479898992562E-3"/>
    <n v="7197"/>
    <b v="0"/>
    <n v="115"/>
    <b v="0"/>
    <n v="13"/>
    <b v="0"/>
    <n v="72527"/>
    <n v="0"/>
    <n v="0"/>
    <n v="0"/>
    <n v="0"/>
  </r>
  <r>
    <n v="202"/>
    <s v="2021-02-19"/>
    <x v="22"/>
    <x v="3"/>
    <x v="3"/>
    <x v="2"/>
    <x v="3"/>
    <n v="8455475"/>
    <n v="81623.5"/>
    <n v="3.122946966314725E-3"/>
    <n v="26406"/>
    <b v="0"/>
    <n v="281"/>
    <b v="0"/>
    <n v="20"/>
    <b v="0"/>
    <n v="72300"/>
    <n v="0"/>
    <n v="0"/>
    <n v="0"/>
    <n v="0"/>
  </r>
  <r>
    <n v="233"/>
    <s v="2021-02-22"/>
    <x v="0"/>
    <x v="5"/>
    <x v="5"/>
    <x v="1"/>
    <x v="5"/>
    <n v="2090371"/>
    <n v="95536.2"/>
    <n v="3.1602045761254822E-3"/>
    <n v="6606"/>
    <b v="0"/>
    <n v="132"/>
    <b v="0"/>
    <n v="14"/>
    <b v="0"/>
    <n v="69734"/>
    <n v="0"/>
    <n v="0"/>
    <n v="0"/>
    <n v="0"/>
  </r>
  <r>
    <n v="62"/>
    <s v="2021-02-06"/>
    <x v="4"/>
    <x v="4"/>
    <x v="4"/>
    <x v="1"/>
    <x v="4"/>
    <n v="1589341"/>
    <n v="12183.4"/>
    <n v="3.2038436056201912E-3"/>
    <n v="5092"/>
    <b v="0"/>
    <n v="102"/>
    <b v="0"/>
    <n v="5"/>
    <b v="0"/>
    <n v="12295"/>
    <n v="0"/>
    <n v="0"/>
    <n v="0"/>
    <n v="0"/>
  </r>
  <r>
    <n v="253"/>
    <s v="2021-02-23"/>
    <x v="17"/>
    <x v="0"/>
    <x v="0"/>
    <x v="0"/>
    <x v="0"/>
    <n v="654544"/>
    <n v="16706.400000000001"/>
    <n v="3.2068126818059596E-3"/>
    <n v="2099"/>
    <b v="0"/>
    <n v="42"/>
    <b v="0"/>
    <n v="6"/>
    <b v="0"/>
    <n v="23886"/>
    <n v="0"/>
    <n v="0"/>
    <n v="0"/>
    <n v="0"/>
  </r>
  <r>
    <n v="165"/>
    <s v="2021-02-15"/>
    <x v="27"/>
    <x v="0"/>
    <x v="0"/>
    <x v="0"/>
    <x v="0"/>
    <n v="8747458"/>
    <n v="543275"/>
    <n v="3.3598332224058693E-3"/>
    <n v="29390"/>
    <b v="0"/>
    <n v="1061"/>
    <b v="0"/>
    <n v="171"/>
    <b v="0"/>
    <n v="809685"/>
    <n v="0"/>
    <n v="0"/>
    <n v="0"/>
    <n v="0"/>
  </r>
  <r>
    <n v="13"/>
    <s v="2021-02-02"/>
    <x v="2"/>
    <x v="5"/>
    <x v="5"/>
    <x v="1"/>
    <x v="5"/>
    <n v="957806"/>
    <n v="2198.0500000000002"/>
    <n v="3.4391097988527948E-3"/>
    <n v="3294"/>
    <b v="0"/>
    <n v="10"/>
    <b v="0"/>
    <n v="0"/>
    <b v="0"/>
    <n v="0"/>
    <n v="0"/>
    <n v="0"/>
    <n v="0"/>
    <n v="0"/>
  </r>
  <r>
    <n v="244"/>
    <s v="2021-02-23"/>
    <x v="17"/>
    <x v="5"/>
    <x v="5"/>
    <x v="1"/>
    <x v="5"/>
    <n v="475992"/>
    <n v="19350"/>
    <n v="3.4475369333938385E-3"/>
    <n v="1641"/>
    <b v="0"/>
    <n v="37"/>
    <b v="0"/>
    <n v="3"/>
    <b v="0"/>
    <n v="12225"/>
    <n v="0"/>
    <n v="0"/>
    <n v="0"/>
    <n v="0"/>
  </r>
  <r>
    <n v="45"/>
    <s v="2021-02-05"/>
    <x v="16"/>
    <x v="1"/>
    <x v="1"/>
    <x v="1"/>
    <x v="1"/>
    <n v="3462883"/>
    <n v="90691.7"/>
    <n v="3.4644543289507617E-3"/>
    <n v="11997"/>
    <b v="0"/>
    <n v="143"/>
    <b v="0"/>
    <n v="17"/>
    <b v="0"/>
    <n v="84677"/>
    <n v="0"/>
    <n v="0"/>
    <n v="0"/>
    <n v="0"/>
  </r>
  <r>
    <n v="136"/>
    <s v="2021-02-13"/>
    <x v="15"/>
    <x v="3"/>
    <x v="3"/>
    <x v="2"/>
    <x v="3"/>
    <n v="3452027"/>
    <n v="216562"/>
    <n v="3.4791153139879846E-3"/>
    <n v="12010"/>
    <b v="0"/>
    <n v="378"/>
    <b v="0"/>
    <n v="56"/>
    <b v="0"/>
    <n v="123088"/>
    <n v="0"/>
    <n v="0"/>
    <n v="0"/>
    <n v="0"/>
  </r>
  <r>
    <n v="154"/>
    <s v="2021-02-14"/>
    <x v="26"/>
    <x v="0"/>
    <x v="0"/>
    <x v="0"/>
    <x v="0"/>
    <n v="7218480"/>
    <n v="225274"/>
    <n v="3.4896543316598506E-3"/>
    <n v="25190"/>
    <b v="0"/>
    <n v="504"/>
    <b v="0"/>
    <n v="76"/>
    <b v="0"/>
    <n v="236056"/>
    <n v="0"/>
    <n v="0"/>
    <n v="0"/>
    <n v="0"/>
  </r>
  <r>
    <n v="94"/>
    <s v="2021-02-09"/>
    <x v="13"/>
    <x v="2"/>
    <x v="2"/>
    <x v="1"/>
    <x v="2"/>
    <n v="759532"/>
    <n v="10317"/>
    <n v="3.5561372002759595E-3"/>
    <n v="2701"/>
    <b v="0"/>
    <n v="19"/>
    <b v="0"/>
    <n v="3"/>
    <b v="0"/>
    <n v="19800"/>
    <n v="0"/>
    <n v="0"/>
    <n v="0"/>
    <n v="0"/>
  </r>
  <r>
    <n v="116"/>
    <s v="2021-02-11"/>
    <x v="25"/>
    <x v="2"/>
    <x v="2"/>
    <x v="1"/>
    <x v="2"/>
    <n v="2224531"/>
    <n v="348.99"/>
    <n v="3.6439141553882594E-3"/>
    <n v="8106"/>
    <b v="0"/>
    <n v="1"/>
    <b v="0"/>
    <n v="0"/>
    <b v="0"/>
    <n v="0"/>
    <n v="0"/>
    <n v="0"/>
    <n v="0"/>
    <n v="0"/>
  </r>
  <r>
    <n v="277"/>
    <s v="2021-02-26"/>
    <x v="7"/>
    <x v="5"/>
    <x v="5"/>
    <x v="1"/>
    <x v="5"/>
    <n v="438858"/>
    <n v="17935.400000000001"/>
    <n v="3.7757087714021392E-3"/>
    <n v="1657"/>
    <b v="0"/>
    <n v="33"/>
    <b v="0"/>
    <n v="3"/>
    <b v="0"/>
    <n v="15345"/>
    <n v="0"/>
    <n v="0"/>
    <n v="0"/>
    <n v="0"/>
  </r>
  <r>
    <n v="194"/>
    <s v="2021-02-18"/>
    <x v="5"/>
    <x v="4"/>
    <x v="4"/>
    <x v="1"/>
    <x v="4"/>
    <n v="13281923"/>
    <n v="58596.4"/>
    <n v="3.8398054257655313E-3"/>
    <n v="51000"/>
    <b v="0"/>
    <n v="1020"/>
    <b v="0"/>
    <n v="16"/>
    <b v="0"/>
    <n v="36016"/>
    <n v="0"/>
    <n v="0"/>
    <n v="0"/>
    <n v="0"/>
  </r>
  <r>
    <n v="34"/>
    <s v="2021-02-04"/>
    <x v="10"/>
    <x v="1"/>
    <x v="1"/>
    <x v="1"/>
    <x v="1"/>
    <n v="2475754"/>
    <n v="173914"/>
    <n v="3.8780104970041452E-3"/>
    <n v="9601"/>
    <b v="0"/>
    <n v="192"/>
    <b v="0"/>
    <n v="31"/>
    <b v="0"/>
    <n v="154411"/>
    <n v="0"/>
    <n v="0"/>
    <n v="0"/>
    <n v="0"/>
  </r>
  <r>
    <n v="215"/>
    <s v="2021-02-20"/>
    <x v="24"/>
    <x v="2"/>
    <x v="2"/>
    <x v="1"/>
    <x v="2"/>
    <n v="7669421"/>
    <n v="404737"/>
    <n v="4.2239172944085347E-3"/>
    <n v="32395"/>
    <b v="0"/>
    <n v="1003"/>
    <b v="0"/>
    <n v="139"/>
    <b v="0"/>
    <n v="847066"/>
    <n v="0"/>
    <n v="0"/>
    <n v="0"/>
    <n v="0"/>
  </r>
  <r>
    <n v="147"/>
    <s v="2021-02-14"/>
    <x v="26"/>
    <x v="3"/>
    <x v="3"/>
    <x v="2"/>
    <x v="3"/>
    <n v="3111389"/>
    <n v="196998"/>
    <n v="4.6249440362487624E-3"/>
    <n v="14390"/>
    <b v="0"/>
    <n v="498"/>
    <b v="0"/>
    <n v="48"/>
    <b v="0"/>
    <n v="101280"/>
    <n v="0"/>
    <n v="0"/>
    <n v="0"/>
    <n v="0"/>
  </r>
  <r>
    <n v="238"/>
    <s v="2021-02-22"/>
    <x v="0"/>
    <x v="4"/>
    <x v="4"/>
    <x v="1"/>
    <x v="4"/>
    <n v="2190892"/>
    <n v="19196.599999999999"/>
    <n v="4.656550847782547E-3"/>
    <n v="10202"/>
    <b v="0"/>
    <n v="124"/>
    <b v="0"/>
    <n v="7"/>
    <b v="0"/>
    <n v="14602"/>
    <n v="0"/>
    <n v="0"/>
    <n v="0"/>
    <n v="0"/>
  </r>
  <r>
    <n v="204"/>
    <s v="2021-02-19"/>
    <x v="22"/>
    <x v="2"/>
    <x v="2"/>
    <x v="1"/>
    <x v="2"/>
    <n v="6168252"/>
    <n v="300775"/>
    <n v="4.8148162558857843E-3"/>
    <n v="29699"/>
    <b v="0"/>
    <n v="1082"/>
    <b v="0"/>
    <n v="96"/>
    <b v="0"/>
    <n v="574176"/>
    <n v="0"/>
    <n v="0"/>
    <n v="0"/>
    <n v="0"/>
  </r>
  <r>
    <n v="182"/>
    <s v="2021-02-17"/>
    <x v="18"/>
    <x v="2"/>
    <x v="2"/>
    <x v="1"/>
    <x v="2"/>
    <n v="4999407"/>
    <n v="246023"/>
    <n v="4.859376322031793E-3"/>
    <n v="24294"/>
    <b v="0"/>
    <n v="606"/>
    <b v="0"/>
    <n v="73"/>
    <b v="0"/>
    <n v="496546"/>
    <n v="0"/>
    <n v="0"/>
    <n v="0"/>
    <n v="0"/>
  </r>
  <r>
    <n v="178"/>
    <s v="2021-02-17"/>
    <x v="18"/>
    <x v="5"/>
    <x v="5"/>
    <x v="1"/>
    <x v="5"/>
    <n v="6102420"/>
    <n v="403691"/>
    <n v="4.8675771251405183E-3"/>
    <n v="29704"/>
    <b v="0"/>
    <n v="594"/>
    <b v="0"/>
    <n v="61"/>
    <b v="0"/>
    <n v="303841"/>
    <n v="0"/>
    <n v="0"/>
    <n v="0"/>
    <n v="0"/>
  </r>
  <r>
    <n v="226"/>
    <s v="2021-02-21"/>
    <x v="6"/>
    <x v="2"/>
    <x v="2"/>
    <x v="1"/>
    <x v="2"/>
    <n v="555915"/>
    <n v="29457.5"/>
    <n v="4.8730471385013893E-3"/>
    <n v="2709"/>
    <b v="0"/>
    <n v="60"/>
    <b v="0"/>
    <n v="10"/>
    <b v="0"/>
    <n v="55540"/>
    <n v="0"/>
    <n v="0"/>
    <n v="0"/>
    <n v="0"/>
  </r>
  <r>
    <n v="7"/>
    <s v="2021-02-01"/>
    <x v="1"/>
    <x v="4"/>
    <x v="4"/>
    <x v="1"/>
    <x v="4"/>
    <n v="511200"/>
    <n v="3648.9"/>
    <n v="5.0000000000000001E-3"/>
    <n v="2556"/>
    <b v="0"/>
    <n v="94"/>
    <b v="0"/>
    <n v="1"/>
    <b v="0"/>
    <n v="1981"/>
    <n v="0"/>
    <n v="0"/>
    <n v="0"/>
    <n v="0"/>
  </r>
  <r>
    <n v="12"/>
    <s v="2021-02-02"/>
    <x v="2"/>
    <x v="1"/>
    <x v="1"/>
    <x v="1"/>
    <x v="1"/>
    <n v="478200"/>
    <n v="18385.3"/>
    <n v="5.0000000000000001E-3"/>
    <n v="2391"/>
    <b v="0"/>
    <n v="48"/>
    <b v="0"/>
    <n v="4"/>
    <b v="0"/>
    <n v="17812"/>
    <n v="0"/>
    <n v="0"/>
    <n v="0"/>
    <n v="0"/>
  </r>
  <r>
    <n v="17"/>
    <s v="2021-02-02"/>
    <x v="2"/>
    <x v="2"/>
    <x v="2"/>
    <x v="1"/>
    <x v="2"/>
    <n v="540200"/>
    <n v="29081.1"/>
    <n v="5.0000000000000001E-3"/>
    <n v="2701"/>
    <b v="0"/>
    <n v="54"/>
    <b v="0"/>
    <n v="9"/>
    <b v="0"/>
    <n v="45585"/>
    <n v="0"/>
    <n v="0"/>
    <n v="0"/>
    <n v="0"/>
  </r>
  <r>
    <n v="18"/>
    <s v="2021-02-02"/>
    <x v="2"/>
    <x v="4"/>
    <x v="4"/>
    <x v="1"/>
    <x v="4"/>
    <n v="1020800"/>
    <n v="1421.34"/>
    <n v="5.0000000000000001E-3"/>
    <n v="5104"/>
    <b v="0"/>
    <n v="14"/>
    <b v="0"/>
    <n v="0"/>
    <b v="0"/>
    <n v="0"/>
    <n v="0"/>
    <n v="0"/>
    <n v="0"/>
    <n v="0"/>
  </r>
  <r>
    <n v="28"/>
    <s v="2021-02-03"/>
    <x v="3"/>
    <x v="2"/>
    <x v="2"/>
    <x v="1"/>
    <x v="2"/>
    <n v="1618600"/>
    <n v="62509.8"/>
    <n v="5.0000000000000001E-3"/>
    <n v="8093"/>
    <b v="0"/>
    <n v="166"/>
    <b v="0"/>
    <n v="15"/>
    <b v="0"/>
    <n v="84600"/>
    <n v="0"/>
    <n v="0"/>
    <n v="0"/>
    <n v="0"/>
  </r>
  <r>
    <n v="29"/>
    <s v="2021-02-03"/>
    <x v="3"/>
    <x v="4"/>
    <x v="4"/>
    <x v="1"/>
    <x v="4"/>
    <n v="3059600"/>
    <n v="94399.9"/>
    <n v="5.0000000000000001E-3"/>
    <n v="15298"/>
    <b v="0"/>
    <n v="592"/>
    <b v="0"/>
    <n v="36"/>
    <b v="0"/>
    <n v="104184"/>
    <n v="0"/>
    <n v="0"/>
    <n v="0"/>
    <n v="0"/>
  </r>
  <r>
    <n v="46"/>
    <s v="2021-02-05"/>
    <x v="16"/>
    <x v="5"/>
    <x v="5"/>
    <x v="1"/>
    <x v="5"/>
    <n v="3299600"/>
    <n v="261047"/>
    <n v="5.0000000000000001E-3"/>
    <n v="16498"/>
    <b v="0"/>
    <n v="330"/>
    <b v="0"/>
    <n v="42"/>
    <b v="0"/>
    <n v="209202"/>
    <n v="0"/>
    <n v="0"/>
    <n v="0"/>
    <n v="0"/>
  </r>
  <r>
    <n v="51"/>
    <s v="2021-02-05"/>
    <x v="16"/>
    <x v="4"/>
    <x v="4"/>
    <x v="1"/>
    <x v="4"/>
    <n v="5100600"/>
    <n v="13588.8"/>
    <n v="5.0000000000000001E-3"/>
    <n v="25503"/>
    <b v="0"/>
    <n v="765"/>
    <b v="0"/>
    <n v="4"/>
    <b v="0"/>
    <n v="7924"/>
    <n v="0"/>
    <n v="0"/>
    <n v="0"/>
    <n v="0"/>
  </r>
  <r>
    <n v="59"/>
    <s v="2021-02-06"/>
    <x v="4"/>
    <x v="3"/>
    <x v="3"/>
    <x v="2"/>
    <x v="3"/>
    <n v="478400"/>
    <n v="22542"/>
    <n v="5.0000000000000001E-3"/>
    <n v="2392"/>
    <b v="0"/>
    <n v="48"/>
    <b v="0"/>
    <n v="6"/>
    <b v="0"/>
    <n v="13152"/>
    <n v="0"/>
    <n v="0"/>
    <n v="0"/>
    <n v="0"/>
  </r>
  <r>
    <n v="67"/>
    <s v="2021-02-07"/>
    <x v="12"/>
    <x v="1"/>
    <x v="1"/>
    <x v="1"/>
    <x v="1"/>
    <n v="478000"/>
    <n v="27314.400000000001"/>
    <n v="5.0000000000000001E-3"/>
    <n v="2390"/>
    <b v="0"/>
    <n v="45"/>
    <b v="0"/>
    <n v="5"/>
    <b v="0"/>
    <n v="24905"/>
    <n v="0"/>
    <n v="0"/>
    <n v="0"/>
    <n v="0"/>
  </r>
  <r>
    <n v="68"/>
    <s v="2021-02-07"/>
    <x v="12"/>
    <x v="5"/>
    <x v="5"/>
    <x v="1"/>
    <x v="5"/>
    <n v="659000"/>
    <n v="38485.599999999999"/>
    <n v="5.0000000000000001E-3"/>
    <n v="3295"/>
    <b v="0"/>
    <n v="66"/>
    <b v="0"/>
    <n v="5"/>
    <b v="0"/>
    <n v="23735"/>
    <n v="0"/>
    <n v="0"/>
    <n v="0"/>
    <n v="0"/>
  </r>
  <r>
    <n v="78"/>
    <s v="2021-02-08"/>
    <x v="23"/>
    <x v="1"/>
    <x v="1"/>
    <x v="1"/>
    <x v="1"/>
    <n v="479000"/>
    <n v="27210.400000000001"/>
    <n v="5.0000000000000001E-3"/>
    <n v="2395"/>
    <b v="0"/>
    <n v="36"/>
    <b v="0"/>
    <n v="5"/>
    <b v="0"/>
    <n v="22345"/>
    <n v="0"/>
    <n v="0"/>
    <n v="0"/>
    <n v="0"/>
  </r>
  <r>
    <n v="81"/>
    <s v="2021-02-08"/>
    <x v="23"/>
    <x v="3"/>
    <x v="3"/>
    <x v="2"/>
    <x v="3"/>
    <n v="478000"/>
    <n v="16567.5"/>
    <n v="5.0000000000000001E-3"/>
    <n v="2390"/>
    <b v="0"/>
    <n v="48"/>
    <b v="0"/>
    <n v="5"/>
    <b v="0"/>
    <n v="16995"/>
    <n v="0"/>
    <n v="0"/>
    <n v="0"/>
    <n v="0"/>
  </r>
  <r>
    <n v="84"/>
    <s v="2021-02-08"/>
    <x v="23"/>
    <x v="4"/>
    <x v="4"/>
    <x v="1"/>
    <x v="4"/>
    <n v="1020000"/>
    <n v="2057.3000000000002"/>
    <n v="5.0000000000000001E-3"/>
    <n v="5100"/>
    <b v="0"/>
    <n v="102"/>
    <b v="0"/>
    <n v="1"/>
    <b v="0"/>
    <n v="1981"/>
    <n v="0"/>
    <n v="0"/>
    <n v="0"/>
    <n v="0"/>
  </r>
  <r>
    <n v="89"/>
    <s v="2021-02-09"/>
    <x v="13"/>
    <x v="1"/>
    <x v="1"/>
    <x v="1"/>
    <x v="1"/>
    <n v="478600"/>
    <n v="49036.5"/>
    <n v="5.0000000000000001E-3"/>
    <n v="2393"/>
    <b v="0"/>
    <n v="68"/>
    <b v="0"/>
    <n v="9"/>
    <b v="0"/>
    <n v="42813"/>
    <n v="0"/>
    <n v="0"/>
    <n v="0"/>
    <n v="0"/>
  </r>
  <r>
    <n v="92"/>
    <s v="2021-02-09"/>
    <x v="13"/>
    <x v="3"/>
    <x v="3"/>
    <x v="2"/>
    <x v="3"/>
    <n v="478600"/>
    <n v="20299.3"/>
    <n v="5.0000000000000001E-3"/>
    <n v="2393"/>
    <b v="0"/>
    <n v="48"/>
    <b v="0"/>
    <n v="5"/>
    <b v="0"/>
    <n v="14905"/>
    <n v="0"/>
    <n v="0"/>
    <n v="0"/>
    <n v="0"/>
  </r>
  <r>
    <n v="95"/>
    <s v="2021-02-09"/>
    <x v="13"/>
    <x v="4"/>
    <x v="4"/>
    <x v="1"/>
    <x v="4"/>
    <n v="1022000"/>
    <n v="7398.26"/>
    <n v="5.0000000000000001E-3"/>
    <n v="5110"/>
    <b v="0"/>
    <n v="102"/>
    <b v="0"/>
    <n v="3"/>
    <b v="0"/>
    <n v="5943"/>
    <n v="0"/>
    <n v="0"/>
    <n v="0"/>
    <n v="0"/>
  </r>
  <r>
    <n v="100"/>
    <s v="2021-02-10"/>
    <x v="19"/>
    <x v="1"/>
    <x v="1"/>
    <x v="1"/>
    <x v="1"/>
    <n v="961800"/>
    <n v="43386.400000000001"/>
    <n v="5.0000000000000001E-3"/>
    <n v="4809"/>
    <b v="0"/>
    <n v="96"/>
    <b v="0"/>
    <n v="8"/>
    <b v="0"/>
    <n v="42400"/>
    <n v="0"/>
    <n v="0"/>
    <n v="0"/>
    <n v="0"/>
  </r>
  <r>
    <n v="106"/>
    <s v="2021-02-10"/>
    <x v="19"/>
    <x v="4"/>
    <x v="4"/>
    <x v="1"/>
    <x v="4"/>
    <n v="2040000"/>
    <n v="14147.9"/>
    <n v="5.0000000000000001E-3"/>
    <n v="10200"/>
    <b v="0"/>
    <n v="395"/>
    <b v="0"/>
    <n v="4"/>
    <b v="0"/>
    <n v="7924"/>
    <n v="0"/>
    <n v="0"/>
    <n v="0"/>
    <n v="0"/>
  </r>
  <r>
    <n v="117"/>
    <s v="2021-02-11"/>
    <x v="25"/>
    <x v="4"/>
    <x v="4"/>
    <x v="1"/>
    <x v="4"/>
    <n v="3058200"/>
    <n v="4138.7299999999996"/>
    <n v="5.0000000000000001E-3"/>
    <n v="15291"/>
    <b v="0"/>
    <n v="114"/>
    <b v="0"/>
    <n v="1"/>
    <b v="0"/>
    <n v="2771"/>
    <n v="0"/>
    <n v="0"/>
    <n v="0"/>
    <n v="0"/>
  </r>
  <r>
    <n v="123"/>
    <s v="2021-02-12"/>
    <x v="21"/>
    <x v="5"/>
    <x v="5"/>
    <x v="1"/>
    <x v="5"/>
    <n v="2639200"/>
    <n v="191722"/>
    <n v="5.0000000000000001E-3"/>
    <n v="13196"/>
    <b v="0"/>
    <n v="325"/>
    <b v="0"/>
    <n v="32"/>
    <b v="0"/>
    <n v="176512"/>
    <n v="0"/>
    <n v="0"/>
    <n v="0"/>
    <n v="0"/>
  </r>
  <r>
    <n v="138"/>
    <s v="2021-02-13"/>
    <x v="15"/>
    <x v="2"/>
    <x v="2"/>
    <x v="1"/>
    <x v="2"/>
    <n v="2698200"/>
    <n v="88844.800000000003"/>
    <n v="5.0000000000000001E-3"/>
    <n v="13491"/>
    <b v="0"/>
    <n v="219"/>
    <b v="0"/>
    <n v="26"/>
    <b v="0"/>
    <n v="176384"/>
    <n v="0"/>
    <n v="0"/>
    <n v="0"/>
    <n v="0"/>
  </r>
  <r>
    <n v="139"/>
    <s v="2021-02-13"/>
    <x v="15"/>
    <x v="4"/>
    <x v="4"/>
    <x v="1"/>
    <x v="4"/>
    <n v="5100600"/>
    <n v="16656.8"/>
    <n v="5.0000000000000001E-3"/>
    <n v="25503"/>
    <b v="0"/>
    <n v="510"/>
    <b v="0"/>
    <n v="6"/>
    <b v="0"/>
    <n v="10134"/>
    <n v="0"/>
    <n v="0"/>
    <n v="0"/>
    <n v="0"/>
  </r>
  <r>
    <n v="149"/>
    <s v="2021-02-14"/>
    <x v="26"/>
    <x v="2"/>
    <x v="2"/>
    <x v="1"/>
    <x v="2"/>
    <n v="3239400"/>
    <n v="312844"/>
    <n v="5.0000000000000001E-3"/>
    <n v="16197"/>
    <b v="0"/>
    <n v="604"/>
    <b v="0"/>
    <n v="72"/>
    <b v="0"/>
    <n v="377352"/>
    <n v="0"/>
    <n v="0"/>
    <n v="0"/>
    <n v="0"/>
  </r>
  <r>
    <n v="155"/>
    <s v="2021-02-15"/>
    <x v="27"/>
    <x v="1"/>
    <x v="1"/>
    <x v="1"/>
    <x v="1"/>
    <n v="3361800"/>
    <n v="168064"/>
    <n v="5.0000000000000001E-3"/>
    <n v="16809"/>
    <b v="0"/>
    <n v="247"/>
    <b v="0"/>
    <n v="30"/>
    <b v="0"/>
    <n v="149430"/>
    <n v="0"/>
    <n v="0"/>
    <n v="0"/>
    <n v="0"/>
  </r>
  <r>
    <n v="158"/>
    <s v="2021-02-15"/>
    <x v="27"/>
    <x v="3"/>
    <x v="3"/>
    <x v="2"/>
    <x v="3"/>
    <n v="3359600"/>
    <n v="124854"/>
    <n v="5.0000000000000001E-3"/>
    <n v="16798"/>
    <b v="0"/>
    <n v="336"/>
    <b v="0"/>
    <n v="31"/>
    <b v="0"/>
    <n v="92411"/>
    <n v="0"/>
    <n v="0"/>
    <n v="0"/>
    <n v="0"/>
  </r>
  <r>
    <n v="160"/>
    <s v="2021-02-15"/>
    <x v="27"/>
    <x v="2"/>
    <x v="2"/>
    <x v="1"/>
    <x v="2"/>
    <n v="3780200"/>
    <n v="136269"/>
    <n v="5.0000000000000001E-3"/>
    <n v="18901"/>
    <b v="0"/>
    <n v="378"/>
    <b v="0"/>
    <n v="45"/>
    <b v="0"/>
    <n v="269145"/>
    <n v="0"/>
    <n v="0"/>
    <n v="0"/>
    <n v="0"/>
  </r>
  <r>
    <n v="161"/>
    <s v="2021-02-15"/>
    <x v="27"/>
    <x v="4"/>
    <x v="4"/>
    <x v="1"/>
    <x v="4"/>
    <n v="7138400"/>
    <n v="37098.6"/>
    <n v="5.0000000000000001E-3"/>
    <n v="35692"/>
    <b v="0"/>
    <n v="916"/>
    <b v="0"/>
    <n v="11"/>
    <b v="0"/>
    <n v="21791"/>
    <n v="0"/>
    <n v="0"/>
    <n v="0"/>
    <n v="0"/>
  </r>
  <r>
    <n v="166"/>
    <s v="2021-02-16"/>
    <x v="11"/>
    <x v="1"/>
    <x v="1"/>
    <x v="1"/>
    <x v="1"/>
    <n v="3839000"/>
    <n v="393027"/>
    <n v="5.0000000000000001E-3"/>
    <n v="19195"/>
    <b v="0"/>
    <n v="384"/>
    <b v="0"/>
    <n v="64"/>
    <b v="0"/>
    <n v="336448"/>
    <n v="0"/>
    <n v="0"/>
    <n v="0"/>
    <n v="0"/>
  </r>
  <r>
    <n v="167"/>
    <s v="2021-02-16"/>
    <x v="11"/>
    <x v="5"/>
    <x v="5"/>
    <x v="1"/>
    <x v="5"/>
    <n v="5280000"/>
    <n v="595176"/>
    <n v="5.0000000000000001E-3"/>
    <n v="26400"/>
    <b v="0"/>
    <n v="923"/>
    <b v="0"/>
    <n v="80"/>
    <b v="0"/>
    <n v="392160"/>
    <n v="0"/>
    <n v="0"/>
    <n v="0"/>
    <n v="0"/>
  </r>
  <r>
    <n v="169"/>
    <s v="2021-02-16"/>
    <x v="11"/>
    <x v="3"/>
    <x v="3"/>
    <x v="2"/>
    <x v="3"/>
    <n v="3841400"/>
    <n v="271906"/>
    <n v="5.0000000000000001E-3"/>
    <n v="19207"/>
    <b v="0"/>
    <n v="666"/>
    <b v="0"/>
    <n v="67"/>
    <b v="0"/>
    <n v="199727"/>
    <n v="0"/>
    <n v="0"/>
    <n v="0"/>
    <n v="0"/>
  </r>
  <r>
    <n v="171"/>
    <s v="2021-02-16"/>
    <x v="11"/>
    <x v="2"/>
    <x v="2"/>
    <x v="1"/>
    <x v="2"/>
    <n v="4319200"/>
    <n v="143680"/>
    <n v="5.0000000000000001E-3"/>
    <n v="21596"/>
    <b v="0"/>
    <n v="432"/>
    <b v="0"/>
    <n v="34"/>
    <b v="0"/>
    <n v="171972"/>
    <n v="0"/>
    <n v="0"/>
    <n v="0"/>
    <n v="0"/>
  </r>
  <r>
    <n v="177"/>
    <s v="2021-02-17"/>
    <x v="18"/>
    <x v="1"/>
    <x v="1"/>
    <x v="1"/>
    <x v="1"/>
    <n v="4320600"/>
    <n v="489831"/>
    <n v="5.0000000000000001E-3"/>
    <n v="21603"/>
    <b v="0"/>
    <n v="652"/>
    <b v="0"/>
    <n v="86"/>
    <b v="0"/>
    <n v="428366"/>
    <n v="0"/>
    <n v="0"/>
    <n v="0"/>
    <n v="0"/>
  </r>
  <r>
    <n v="180"/>
    <s v="2021-02-17"/>
    <x v="18"/>
    <x v="3"/>
    <x v="3"/>
    <x v="2"/>
    <x v="3"/>
    <n v="4319200"/>
    <n v="180223"/>
    <n v="5.0000000000000001E-3"/>
    <n v="21596"/>
    <b v="0"/>
    <n v="442"/>
    <b v="0"/>
    <n v="44"/>
    <b v="0"/>
    <n v="136708"/>
    <n v="0"/>
    <n v="0"/>
    <n v="0"/>
    <n v="0"/>
  </r>
  <r>
    <n v="188"/>
    <s v="2021-02-18"/>
    <x v="5"/>
    <x v="1"/>
    <x v="1"/>
    <x v="1"/>
    <x v="1"/>
    <n v="4798200"/>
    <n v="30892.2"/>
    <n v="5.0000000000000001E-3"/>
    <n v="23991"/>
    <b v="0"/>
    <n v="61"/>
    <b v="0"/>
    <n v="6"/>
    <b v="0"/>
    <n v="25686"/>
    <n v="0"/>
    <n v="0"/>
    <n v="0"/>
    <n v="0"/>
  </r>
  <r>
    <n v="200"/>
    <s v="2021-02-19"/>
    <x v="22"/>
    <x v="5"/>
    <x v="5"/>
    <x v="1"/>
    <x v="5"/>
    <n v="7260800"/>
    <n v="415376"/>
    <n v="5.0000000000000001E-3"/>
    <n v="36304"/>
    <b v="0"/>
    <n v="726"/>
    <b v="0"/>
    <n v="58"/>
    <b v="0"/>
    <n v="288898"/>
    <n v="0"/>
    <n v="0"/>
    <n v="0"/>
    <n v="0"/>
  </r>
  <r>
    <n v="205"/>
    <s v="2021-02-19"/>
    <x v="22"/>
    <x v="4"/>
    <x v="4"/>
    <x v="1"/>
    <x v="4"/>
    <n v="11222000"/>
    <n v="9908.98"/>
    <n v="5.0000000000000001E-3"/>
    <n v="56110"/>
    <b v="0"/>
    <n v="185"/>
    <b v="0"/>
    <n v="3"/>
    <b v="0"/>
    <n v="3621"/>
    <n v="0"/>
    <n v="0"/>
    <n v="0"/>
    <n v="0"/>
  </r>
  <r>
    <n v="211"/>
    <s v="2021-02-20"/>
    <x v="24"/>
    <x v="5"/>
    <x v="5"/>
    <x v="1"/>
    <x v="5"/>
    <n v="7918600"/>
    <n v="455831"/>
    <n v="5.0000000000000001E-3"/>
    <n v="39593"/>
    <b v="0"/>
    <n v="853"/>
    <b v="0"/>
    <n v="68"/>
    <b v="0"/>
    <n v="387124"/>
    <n v="0"/>
    <n v="0"/>
    <n v="0"/>
    <n v="0"/>
  </r>
  <r>
    <n v="213"/>
    <s v="2021-02-20"/>
    <x v="24"/>
    <x v="3"/>
    <x v="3"/>
    <x v="2"/>
    <x v="3"/>
    <n v="5762000"/>
    <n v="435770"/>
    <n v="5.0000000000000001E-3"/>
    <n v="28810"/>
    <b v="0"/>
    <n v="732"/>
    <b v="0"/>
    <n v="96"/>
    <b v="0"/>
    <n v="253440"/>
    <n v="0"/>
    <n v="0"/>
    <n v="0"/>
    <n v="0"/>
  </r>
  <r>
    <n v="216"/>
    <s v="2021-02-20"/>
    <x v="24"/>
    <x v="4"/>
    <x v="4"/>
    <x v="1"/>
    <x v="4"/>
    <n v="12239000"/>
    <n v="150065"/>
    <n v="5.0000000000000001E-3"/>
    <n v="61195"/>
    <b v="0"/>
    <n v="1224"/>
    <b v="0"/>
    <n v="48"/>
    <b v="0"/>
    <n v="73392"/>
    <n v="0"/>
    <n v="0"/>
    <n v="0"/>
    <n v="0"/>
  </r>
  <r>
    <n v="221"/>
    <s v="2021-02-21"/>
    <x v="6"/>
    <x v="1"/>
    <x v="1"/>
    <x v="1"/>
    <x v="1"/>
    <n v="478600"/>
    <n v="38596.699999999997"/>
    <n v="5.0000000000000001E-3"/>
    <n v="2393"/>
    <b v="0"/>
    <n v="66"/>
    <b v="0"/>
    <n v="7"/>
    <b v="0"/>
    <n v="31094"/>
    <n v="0"/>
    <n v="0"/>
    <n v="0"/>
    <n v="0"/>
  </r>
  <r>
    <n v="224"/>
    <s v="2021-02-21"/>
    <x v="6"/>
    <x v="3"/>
    <x v="3"/>
    <x v="2"/>
    <x v="3"/>
    <n v="478400"/>
    <n v="17476.2"/>
    <n v="5.0000000000000001E-3"/>
    <n v="2392"/>
    <b v="0"/>
    <n v="48"/>
    <b v="0"/>
    <n v="5"/>
    <b v="0"/>
    <n v="12910"/>
    <n v="0"/>
    <n v="0"/>
    <n v="0"/>
    <n v="0"/>
  </r>
  <r>
    <n v="235"/>
    <s v="2021-02-22"/>
    <x v="0"/>
    <x v="3"/>
    <x v="3"/>
    <x v="2"/>
    <x v="3"/>
    <n v="959600"/>
    <n v="12348.3"/>
    <n v="5.0000000000000001E-3"/>
    <n v="4798"/>
    <b v="0"/>
    <n v="39"/>
    <b v="0"/>
    <n v="4"/>
    <b v="0"/>
    <n v="11924"/>
    <n v="0"/>
    <n v="0"/>
    <n v="0"/>
    <n v="0"/>
  </r>
  <r>
    <n v="246"/>
    <s v="2021-02-23"/>
    <x v="17"/>
    <x v="3"/>
    <x v="3"/>
    <x v="2"/>
    <x v="3"/>
    <n v="241000"/>
    <n v="12581.6"/>
    <n v="5.0000000000000001E-3"/>
    <n v="1205"/>
    <b v="0"/>
    <n v="24"/>
    <b v="0"/>
    <n v="3"/>
    <b v="0"/>
    <n v="8943"/>
    <n v="0"/>
    <n v="0"/>
    <n v="0"/>
    <n v="0"/>
  </r>
  <r>
    <n v="249"/>
    <s v="2021-02-23"/>
    <x v="17"/>
    <x v="4"/>
    <x v="4"/>
    <x v="1"/>
    <x v="4"/>
    <n v="512000"/>
    <n v="4285.4399999999996"/>
    <n v="5.0000000000000001E-3"/>
    <n v="2560"/>
    <b v="0"/>
    <n v="51"/>
    <b v="0"/>
    <n v="2"/>
    <b v="0"/>
    <n v="2934"/>
    <n v="0"/>
    <n v="0"/>
    <n v="0"/>
    <n v="0"/>
  </r>
  <r>
    <n v="265"/>
    <s v="2021-02-25"/>
    <x v="9"/>
    <x v="1"/>
    <x v="1"/>
    <x v="1"/>
    <x v="1"/>
    <n v="94600"/>
    <n v="11230.2"/>
    <n v="5.0000000000000001E-3"/>
    <n v="473"/>
    <b v="0"/>
    <n v="15"/>
    <b v="0"/>
    <n v="2"/>
    <b v="0"/>
    <n v="10104"/>
    <n v="0"/>
    <n v="0"/>
    <n v="0"/>
    <n v="0"/>
  </r>
  <r>
    <n v="266"/>
    <s v="2021-02-25"/>
    <x v="9"/>
    <x v="5"/>
    <x v="5"/>
    <x v="1"/>
    <x v="5"/>
    <n v="131400"/>
    <n v="10357"/>
    <n v="5.0000000000000001E-3"/>
    <n v="657"/>
    <b v="0"/>
    <n v="13"/>
    <b v="0"/>
    <n v="2"/>
    <b v="0"/>
    <n v="9962"/>
    <n v="0"/>
    <n v="0"/>
    <n v="0"/>
    <n v="0"/>
  </r>
  <r>
    <n v="270"/>
    <s v="2021-02-25"/>
    <x v="9"/>
    <x v="2"/>
    <x v="2"/>
    <x v="1"/>
    <x v="2"/>
    <n v="106000"/>
    <n v="2304.0100000000002"/>
    <n v="5.0000000000000001E-3"/>
    <n v="530"/>
    <b v="0"/>
    <n v="6"/>
    <b v="0"/>
    <n v="1"/>
    <b v="0"/>
    <n v="5981"/>
    <n v="0"/>
    <n v="0"/>
    <n v="0"/>
    <n v="0"/>
  </r>
  <r>
    <n v="279"/>
    <s v="2021-02-26"/>
    <x v="7"/>
    <x v="3"/>
    <x v="3"/>
    <x v="2"/>
    <x v="3"/>
    <n v="240600"/>
    <n v="4453.1000000000004"/>
    <n v="5.0000000000000001E-3"/>
    <n v="1203"/>
    <b v="0"/>
    <n v="11"/>
    <b v="0"/>
    <n v="1"/>
    <b v="0"/>
    <n v="2283"/>
    <n v="0"/>
    <n v="0"/>
    <n v="0"/>
    <n v="0"/>
  </r>
  <r>
    <n v="282"/>
    <s v="2021-02-26"/>
    <x v="7"/>
    <x v="4"/>
    <x v="4"/>
    <x v="1"/>
    <x v="4"/>
    <n v="508600"/>
    <n v="2403.54"/>
    <n v="5.0000000000000001E-3"/>
    <n v="2543"/>
    <b v="0"/>
    <n v="73"/>
    <b v="0"/>
    <n v="1"/>
    <b v="0"/>
    <n v="1981"/>
    <n v="0"/>
    <n v="0"/>
    <n v="0"/>
    <n v="0"/>
  </r>
  <r>
    <n v="288"/>
    <s v="2021-02-27"/>
    <x v="14"/>
    <x v="5"/>
    <x v="5"/>
    <x v="1"/>
    <x v="5"/>
    <n v="66400"/>
    <n v="3235.77"/>
    <n v="5.0000000000000001E-3"/>
    <n v="332"/>
    <b v="0"/>
    <n v="13"/>
    <b v="0"/>
    <n v="0"/>
    <b v="0"/>
    <n v="0"/>
    <n v="0"/>
    <n v="0"/>
    <n v="0"/>
    <n v="0"/>
  </r>
  <r>
    <n v="298"/>
    <s v="2021-02-28"/>
    <x v="8"/>
    <x v="1"/>
    <x v="1"/>
    <x v="1"/>
    <x v="1"/>
    <n v="97200"/>
    <n v="6440.5"/>
    <n v="5.0000000000000001E-3"/>
    <n v="486"/>
    <b v="0"/>
    <n v="11"/>
    <b v="0"/>
    <n v="1"/>
    <b v="0"/>
    <n v="4981"/>
    <n v="0"/>
    <n v="0"/>
    <n v="0"/>
    <n v="0"/>
  </r>
  <r>
    <n v="299"/>
    <s v="2021-02-28"/>
    <x v="8"/>
    <x v="5"/>
    <x v="5"/>
    <x v="1"/>
    <x v="5"/>
    <n v="132200"/>
    <n v="8665.5499999999993"/>
    <n v="5.0000000000000001E-3"/>
    <n v="661"/>
    <b v="0"/>
    <n v="13"/>
    <b v="0"/>
    <n v="1"/>
    <b v="0"/>
    <n v="5509"/>
    <n v="0"/>
    <n v="0"/>
    <n v="0"/>
    <n v="0"/>
  </r>
  <r>
    <n v="254"/>
    <s v="2021-02-24"/>
    <x v="20"/>
    <x v="1"/>
    <x v="1"/>
    <x v="1"/>
    <x v="1"/>
    <n v="479596"/>
    <n v="94564.2"/>
    <n v="5.0208925845920318E-3"/>
    <n v="2408"/>
    <b v="0"/>
    <n v="93"/>
    <b v="0"/>
    <n v="15"/>
    <b v="0"/>
    <n v="81825"/>
    <n v="0"/>
    <n v="0"/>
    <n v="0"/>
    <n v="0"/>
  </r>
  <r>
    <n v="122"/>
    <s v="2021-02-12"/>
    <x v="21"/>
    <x v="1"/>
    <x v="1"/>
    <x v="1"/>
    <x v="1"/>
    <n v="1804868"/>
    <n v="110004"/>
    <n v="5.3228269324958949E-3"/>
    <n v="9607"/>
    <b v="0"/>
    <n v="192"/>
    <b v="0"/>
    <n v="23"/>
    <b v="0"/>
    <n v="96163"/>
    <n v="0"/>
    <n v="0"/>
    <n v="0"/>
    <n v="0"/>
  </r>
  <r>
    <n v="83"/>
    <s v="2021-02-08"/>
    <x v="23"/>
    <x v="2"/>
    <x v="2"/>
    <x v="1"/>
    <x v="2"/>
    <n v="472836"/>
    <n v="330.76"/>
    <n v="5.6890761278752039E-3"/>
    <n v="2690"/>
    <b v="0"/>
    <n v="1"/>
    <b v="0"/>
    <n v="0"/>
    <b v="0"/>
    <n v="0"/>
    <n v="0"/>
    <n v="0"/>
    <n v="0"/>
    <n v="0"/>
  </r>
  <r>
    <n v="114"/>
    <s v="2021-02-11"/>
    <x v="25"/>
    <x v="3"/>
    <x v="3"/>
    <x v="2"/>
    <x v="3"/>
    <n v="1254537"/>
    <n v="51422.5"/>
    <n v="5.7375748981496758E-3"/>
    <n v="7198"/>
    <b v="0"/>
    <n v="144"/>
    <b v="0"/>
    <n v="14"/>
    <b v="0"/>
    <n v="41986"/>
    <n v="0"/>
    <n v="0"/>
    <n v="0"/>
    <n v="0"/>
  </r>
  <r>
    <n v="144"/>
    <s v="2021-02-14"/>
    <x v="26"/>
    <x v="1"/>
    <x v="1"/>
    <x v="1"/>
    <x v="1"/>
    <n v="2452315"/>
    <n v="60244.9"/>
    <n v="5.8744492448971689E-3"/>
    <n v="14406"/>
    <b v="0"/>
    <n v="110"/>
    <b v="0"/>
    <n v="14"/>
    <b v="0"/>
    <n v="63560"/>
    <n v="0"/>
    <n v="0"/>
    <n v="0"/>
    <n v="0"/>
  </r>
  <r>
    <n v="90"/>
    <s v="2021-02-09"/>
    <x v="13"/>
    <x v="5"/>
    <x v="5"/>
    <x v="1"/>
    <x v="5"/>
    <n v="555116"/>
    <n v="62119.4"/>
    <n v="5.9501077252322038E-3"/>
    <n v="3303"/>
    <b v="0"/>
    <n v="96"/>
    <b v="0"/>
    <n v="11"/>
    <b v="0"/>
    <n v="54791"/>
    <n v="0"/>
    <n v="0"/>
    <n v="0"/>
    <n v="0"/>
  </r>
  <r>
    <n v="150"/>
    <s v="2021-02-14"/>
    <x v="26"/>
    <x v="4"/>
    <x v="4"/>
    <x v="1"/>
    <x v="4"/>
    <n v="5130500"/>
    <n v="218228"/>
    <n v="5.9647207874476173E-3"/>
    <n v="30602"/>
    <b v="0"/>
    <n v="935"/>
    <b v="0"/>
    <n v="54"/>
    <b v="0"/>
    <n v="119718"/>
    <n v="0"/>
    <n v="0"/>
    <n v="0"/>
    <n v="0"/>
  </r>
  <r>
    <n v="103"/>
    <s v="2021-02-10"/>
    <x v="19"/>
    <x v="3"/>
    <x v="3"/>
    <x v="2"/>
    <x v="3"/>
    <n v="797238"/>
    <n v="67577.8"/>
    <n v="6.0170237745817432E-3"/>
    <n v="4797"/>
    <b v="0"/>
    <n v="154"/>
    <b v="0"/>
    <n v="19"/>
    <b v="0"/>
    <n v="42598"/>
    <n v="0"/>
    <n v="0"/>
    <n v="0"/>
    <n v="0"/>
  </r>
  <r>
    <n v="222"/>
    <s v="2021-02-21"/>
    <x v="6"/>
    <x v="5"/>
    <x v="5"/>
    <x v="1"/>
    <x v="5"/>
    <n v="543787"/>
    <n v="39481"/>
    <n v="6.0667136213259972E-3"/>
    <n v="3299"/>
    <b v="0"/>
    <n v="113"/>
    <b v="0"/>
    <n v="6"/>
    <b v="0"/>
    <n v="29538"/>
    <n v="0"/>
    <n v="0"/>
    <n v="0"/>
    <n v="0"/>
  </r>
  <r>
    <n v="290"/>
    <s v="2021-02-27"/>
    <x v="14"/>
    <x v="3"/>
    <x v="3"/>
    <x v="2"/>
    <x v="3"/>
    <n v="40004"/>
    <n v="1487.24"/>
    <n v="6.0743925607439258E-3"/>
    <n v="243"/>
    <b v="0"/>
    <n v="5"/>
    <b v="0"/>
    <n v="0"/>
    <b v="0"/>
    <n v="0"/>
    <n v="0"/>
    <n v="0"/>
    <n v="0"/>
    <n v="0"/>
  </r>
  <r>
    <n v="174"/>
    <s v="2021-02-16"/>
    <x v="11"/>
    <x v="6"/>
    <x v="6"/>
    <x v="1"/>
    <x v="6"/>
    <n v="1576818"/>
    <n v="345629"/>
    <n v="6.086307994962006E-3"/>
    <n v="9597"/>
    <b v="0"/>
    <n v="292"/>
    <b v="0"/>
    <n v="39"/>
    <b v="0"/>
    <n v="25857"/>
    <n v="0"/>
    <n v="0"/>
    <n v="0"/>
    <n v="0"/>
  </r>
  <r>
    <n v="175"/>
    <s v="2021-02-16"/>
    <x v="11"/>
    <x v="7"/>
    <x v="7"/>
    <x v="3"/>
    <x v="7"/>
    <n v="3937010"/>
    <n v="620903"/>
    <n v="6.0944727089847373E-3"/>
    <n v="23994"/>
    <b v="0"/>
    <n v="833"/>
    <b v="0"/>
    <n v="160"/>
    <b v="0"/>
    <n v="939360"/>
    <n v="0"/>
    <n v="0"/>
    <n v="0"/>
    <n v="0"/>
  </r>
  <r>
    <n v="104"/>
    <s v="2021-02-10"/>
    <x v="19"/>
    <x v="8"/>
    <x v="8"/>
    <x v="3"/>
    <x v="8"/>
    <n v="1469962"/>
    <n v="19831.400000000001"/>
    <n v="6.121246671682669E-3"/>
    <n v="8998"/>
    <b v="0"/>
    <n v="80"/>
    <b v="0"/>
    <n v="16"/>
    <b v="0"/>
    <n v="130768"/>
    <n v="0"/>
    <n v="0"/>
    <n v="0"/>
    <n v="0"/>
  </r>
  <r>
    <n v="292"/>
    <s v="2021-02-27"/>
    <x v="14"/>
    <x v="2"/>
    <x v="2"/>
    <x v="1"/>
    <x v="2"/>
    <n v="44112"/>
    <n v="1832.16"/>
    <n v="6.234131302140007E-3"/>
    <n v="275"/>
    <b v="0"/>
    <n v="6"/>
    <b v="0"/>
    <n v="1"/>
    <b v="0"/>
    <n v="5981"/>
    <n v="0"/>
    <n v="0"/>
    <n v="0"/>
    <n v="0"/>
  </r>
  <r>
    <n v="37"/>
    <s v="2021-02-04"/>
    <x v="10"/>
    <x v="3"/>
    <x v="3"/>
    <x v="2"/>
    <x v="3"/>
    <n v="1531679"/>
    <n v="60108.800000000003"/>
    <n v="6.2617558901049107E-3"/>
    <n v="9591"/>
    <b v="0"/>
    <n v="234"/>
    <b v="0"/>
    <n v="17"/>
    <b v="0"/>
    <n v="58990"/>
    <n v="0"/>
    <n v="0"/>
    <n v="0"/>
    <n v="0"/>
  </r>
  <r>
    <n v="97"/>
    <s v="2021-02-09"/>
    <x v="13"/>
    <x v="6"/>
    <x v="6"/>
    <x v="1"/>
    <x v="6"/>
    <n v="189854"/>
    <n v="29091.4"/>
    <n v="6.3101119807852353E-3"/>
    <n v="1198"/>
    <b v="0"/>
    <n v="24"/>
    <b v="0"/>
    <n v="3"/>
    <b v="0"/>
    <n v="2943"/>
    <n v="0"/>
    <n v="0"/>
    <n v="0"/>
    <n v="0"/>
  </r>
  <r>
    <n v="225"/>
    <s v="2021-02-21"/>
    <x v="6"/>
    <x v="8"/>
    <x v="8"/>
    <x v="3"/>
    <x v="8"/>
    <n v="713896"/>
    <n v="30801"/>
    <n v="6.3132445062025842E-3"/>
    <n v="4507"/>
    <b v="0"/>
    <n v="90"/>
    <b v="0"/>
    <n v="20"/>
    <b v="0"/>
    <n v="159620"/>
    <n v="0"/>
    <n v="0"/>
    <n v="0"/>
    <n v="0"/>
  </r>
  <r>
    <n v="307"/>
    <s v="2021-02-28"/>
    <x v="8"/>
    <x v="7"/>
    <x v="7"/>
    <x v="3"/>
    <x v="7"/>
    <n v="94058"/>
    <n v="4845.6499999999996"/>
    <n v="6.3152522911395096E-3"/>
    <n v="594"/>
    <b v="0"/>
    <n v="12"/>
    <b v="0"/>
    <n v="1"/>
    <b v="0"/>
    <n v="5008"/>
    <n v="0"/>
    <n v="0"/>
    <n v="0"/>
    <n v="0"/>
  </r>
  <r>
    <n v="61"/>
    <s v="2021-02-06"/>
    <x v="4"/>
    <x v="2"/>
    <x v="2"/>
    <x v="1"/>
    <x v="2"/>
    <n v="425467"/>
    <n v="3661.53"/>
    <n v="6.3342162846942301E-3"/>
    <n v="2695"/>
    <b v="0"/>
    <n v="14"/>
    <b v="0"/>
    <n v="1"/>
    <b v="0"/>
    <n v="5958"/>
    <n v="0"/>
    <n v="0"/>
    <n v="0"/>
    <n v="0"/>
  </r>
  <r>
    <n v="293"/>
    <s v="2021-02-27"/>
    <x v="14"/>
    <x v="4"/>
    <x v="4"/>
    <x v="1"/>
    <x v="4"/>
    <n v="78799"/>
    <n v="254.14"/>
    <n v="6.3833297376870261E-3"/>
    <n v="503"/>
    <b v="0"/>
    <n v="3"/>
    <b v="0"/>
    <n v="0"/>
    <b v="0"/>
    <n v="0"/>
    <n v="0"/>
    <n v="0"/>
    <n v="0"/>
    <n v="0"/>
  </r>
  <r>
    <n v="125"/>
    <s v="2021-02-12"/>
    <x v="21"/>
    <x v="3"/>
    <x v="3"/>
    <x v="2"/>
    <x v="3"/>
    <n v="1502383"/>
    <n v="86733.1"/>
    <n v="6.3931767066054395E-3"/>
    <n v="9605"/>
    <b v="0"/>
    <n v="192"/>
    <b v="0"/>
    <n v="19"/>
    <b v="0"/>
    <n v="56639"/>
    <n v="0"/>
    <n v="0"/>
    <n v="0"/>
    <n v="0"/>
  </r>
  <r>
    <n v="71"/>
    <s v="2021-02-07"/>
    <x v="12"/>
    <x v="8"/>
    <x v="8"/>
    <x v="3"/>
    <x v="8"/>
    <n v="694624"/>
    <n v="31680.1"/>
    <n v="6.4855231031464506E-3"/>
    <n v="4505"/>
    <b v="0"/>
    <n v="82"/>
    <b v="0"/>
    <n v="15"/>
    <b v="0"/>
    <n v="119715"/>
    <n v="0"/>
    <n v="0"/>
    <n v="0"/>
    <n v="0"/>
  </r>
  <r>
    <n v="227"/>
    <s v="2021-02-21"/>
    <x v="6"/>
    <x v="4"/>
    <x v="4"/>
    <x v="1"/>
    <x v="4"/>
    <n v="781353"/>
    <n v="12503.5"/>
    <n v="6.5322587870015221E-3"/>
    <n v="5104"/>
    <b v="0"/>
    <n v="102"/>
    <b v="0"/>
    <n v="4"/>
    <b v="0"/>
    <n v="7924"/>
    <n v="0"/>
    <n v="0"/>
    <n v="0"/>
    <n v="0"/>
  </r>
  <r>
    <n v="219"/>
    <s v="2021-02-20"/>
    <x v="24"/>
    <x v="7"/>
    <x v="7"/>
    <x v="3"/>
    <x v="7"/>
    <n v="5497354"/>
    <n v="504576"/>
    <n v="6.5475135856268305E-3"/>
    <n v="35994"/>
    <b v="0"/>
    <n v="822"/>
    <b v="0"/>
    <n v="137"/>
    <b v="0"/>
    <n v="682397"/>
    <n v="0"/>
    <n v="0"/>
    <n v="0"/>
    <n v="0"/>
  </r>
  <r>
    <n v="82"/>
    <s v="2021-02-08"/>
    <x v="23"/>
    <x v="8"/>
    <x v="8"/>
    <x v="3"/>
    <x v="8"/>
    <n v="685530"/>
    <n v="33892.6"/>
    <n v="6.5511356176972558E-3"/>
    <n v="4491"/>
    <b v="0"/>
    <n v="79"/>
    <b v="0"/>
    <n v="16"/>
    <b v="0"/>
    <n v="120176"/>
    <n v="0"/>
    <n v="0"/>
    <n v="0"/>
    <n v="0"/>
  </r>
  <r>
    <n v="156"/>
    <s v="2021-02-15"/>
    <x v="27"/>
    <x v="5"/>
    <x v="5"/>
    <x v="1"/>
    <x v="5"/>
    <n v="3441545"/>
    <n v="593576"/>
    <n v="6.7129733884054984E-3"/>
    <n v="23103"/>
    <b v="0"/>
    <n v="694"/>
    <b v="0"/>
    <n v="81"/>
    <b v="0"/>
    <n v="403461"/>
    <n v="0"/>
    <n v="0"/>
    <n v="0"/>
    <n v="0"/>
  </r>
  <r>
    <n v="40"/>
    <s v="2021-02-04"/>
    <x v="10"/>
    <x v="4"/>
    <x v="4"/>
    <x v="1"/>
    <x v="4"/>
    <n v="3008227"/>
    <n v="40119.199999999997"/>
    <n v="6.7787437583666389E-3"/>
    <n v="20392"/>
    <b v="0"/>
    <n v="408"/>
    <b v="0"/>
    <n v="12"/>
    <b v="0"/>
    <n v="23772"/>
    <n v="0"/>
    <n v="0"/>
    <n v="0"/>
    <n v="0"/>
  </r>
  <r>
    <n v="111"/>
    <s v="2021-02-11"/>
    <x v="25"/>
    <x v="1"/>
    <x v="1"/>
    <x v="1"/>
    <x v="1"/>
    <n v="1061233"/>
    <n v="105681"/>
    <n v="6.7902147784699492E-3"/>
    <n v="7206"/>
    <b v="0"/>
    <n v="144"/>
    <b v="0"/>
    <n v="23"/>
    <b v="0"/>
    <n v="105225"/>
    <n v="0"/>
    <n v="0"/>
    <n v="0"/>
    <n v="0"/>
  </r>
  <r>
    <n v="75"/>
    <s v="2021-02-07"/>
    <x v="12"/>
    <x v="6"/>
    <x v="6"/>
    <x v="1"/>
    <x v="6"/>
    <n v="174221"/>
    <n v="10104.9"/>
    <n v="6.8705839135351074E-3"/>
    <n v="1197"/>
    <b v="0"/>
    <n v="6"/>
    <b v="0"/>
    <n v="1"/>
    <b v="0"/>
    <n v="981"/>
    <n v="0"/>
    <n v="0"/>
    <n v="0"/>
    <n v="0"/>
  </r>
  <r>
    <n v="79"/>
    <s v="2021-02-08"/>
    <x v="23"/>
    <x v="5"/>
    <x v="5"/>
    <x v="1"/>
    <x v="5"/>
    <n v="472656"/>
    <n v="33752.800000000003"/>
    <n v="6.9606648386987572E-3"/>
    <n v="3290"/>
    <b v="0"/>
    <n v="66"/>
    <b v="0"/>
    <n v="5"/>
    <b v="0"/>
    <n v="28670"/>
    <n v="0"/>
    <n v="0"/>
    <n v="0"/>
    <n v="0"/>
  </r>
  <r>
    <n v="54"/>
    <s v="2021-02-05"/>
    <x v="16"/>
    <x v="7"/>
    <x v="7"/>
    <x v="3"/>
    <x v="7"/>
    <n v="2153303"/>
    <n v="36431.699999999997"/>
    <n v="6.967435609387067E-3"/>
    <n v="15003"/>
    <b v="0"/>
    <n v="51"/>
    <b v="0"/>
    <n v="8"/>
    <b v="0"/>
    <n v="47816"/>
    <n v="0"/>
    <n v="0"/>
    <n v="0"/>
    <n v="0"/>
  </r>
  <r>
    <n v="134"/>
    <s v="2021-02-13"/>
    <x v="15"/>
    <x v="5"/>
    <x v="5"/>
    <x v="1"/>
    <x v="5"/>
    <n v="2358224"/>
    <n v="325444"/>
    <n v="6.9993350928495342E-3"/>
    <n v="16506"/>
    <b v="0"/>
    <n v="655"/>
    <b v="0"/>
    <n v="52"/>
    <b v="0"/>
    <n v="262184"/>
    <n v="0"/>
    <n v="0"/>
    <n v="0"/>
    <n v="0"/>
  </r>
  <r>
    <n v="302"/>
    <s v="2021-02-28"/>
    <x v="8"/>
    <x v="8"/>
    <x v="8"/>
    <x v="3"/>
    <x v="8"/>
    <n v="129025"/>
    <n v="9892.77"/>
    <n v="7.0451462894787834E-3"/>
    <n v="909"/>
    <b v="0"/>
    <n v="21"/>
    <b v="0"/>
    <n v="5"/>
    <b v="0"/>
    <n v="37450"/>
    <n v="0"/>
    <n v="0"/>
    <n v="0"/>
    <n v="0"/>
  </r>
  <r>
    <n v="189"/>
    <s v="2021-02-18"/>
    <x v="5"/>
    <x v="5"/>
    <x v="5"/>
    <x v="1"/>
    <x v="5"/>
    <n v="4678356"/>
    <n v="373294"/>
    <n v="7.0544011614336322E-3"/>
    <n v="33003"/>
    <b v="0"/>
    <n v="1313"/>
    <b v="0"/>
    <n v="51"/>
    <b v="0"/>
    <n v="237711"/>
    <n v="0"/>
    <n v="0"/>
    <n v="0"/>
    <n v="0"/>
  </r>
  <r>
    <n v="276"/>
    <s v="2021-02-26"/>
    <x v="7"/>
    <x v="1"/>
    <x v="1"/>
    <x v="1"/>
    <x v="1"/>
    <n v="168408"/>
    <n v="19887.7"/>
    <n v="7.1671179516412525E-3"/>
    <n v="1207"/>
    <b v="0"/>
    <n v="39"/>
    <b v="0"/>
    <n v="4"/>
    <b v="0"/>
    <n v="22488"/>
    <n v="0"/>
    <n v="0"/>
    <n v="0"/>
    <n v="0"/>
  </r>
  <r>
    <n v="57"/>
    <s v="2021-02-06"/>
    <x v="4"/>
    <x v="5"/>
    <x v="5"/>
    <x v="1"/>
    <x v="5"/>
    <n v="448321"/>
    <n v="62272.6"/>
    <n v="7.3652583751374571E-3"/>
    <n v="3302"/>
    <b v="0"/>
    <n v="108"/>
    <b v="0"/>
    <n v="9"/>
    <b v="0"/>
    <n v="44829"/>
    <n v="0"/>
    <n v="0"/>
    <n v="0"/>
    <n v="0"/>
  </r>
  <r>
    <n v="153"/>
    <s v="2021-02-14"/>
    <x v="26"/>
    <x v="7"/>
    <x v="7"/>
    <x v="3"/>
    <x v="7"/>
    <n v="2429465"/>
    <n v="205870"/>
    <n v="7.4082153889848176E-3"/>
    <n v="17998"/>
    <b v="0"/>
    <n v="354"/>
    <b v="0"/>
    <n v="53"/>
    <b v="0"/>
    <n v="306817"/>
    <n v="0"/>
    <n v="0"/>
    <n v="0"/>
    <n v="0"/>
  </r>
  <r>
    <n v="2"/>
    <s v="2021-02-01"/>
    <x v="1"/>
    <x v="5"/>
    <x v="5"/>
    <x v="1"/>
    <x v="5"/>
    <n v="220688"/>
    <n v="16300.2"/>
    <n v="7.4313057347930112E-3"/>
    <n v="1640"/>
    <b v="0"/>
    <n v="48"/>
    <b v="0"/>
    <n v="3"/>
    <b v="0"/>
    <n v="14962"/>
    <n v="0"/>
    <n v="0"/>
    <n v="0"/>
    <n v="0"/>
  </r>
  <r>
    <n v="108"/>
    <s v="2021-02-10"/>
    <x v="19"/>
    <x v="6"/>
    <x v="6"/>
    <x v="1"/>
    <x v="6"/>
    <n v="321713"/>
    <n v="131236"/>
    <n v="7.4476318955093513E-3"/>
    <n v="2396"/>
    <b v="0"/>
    <n v="88"/>
    <b v="0"/>
    <n v="15"/>
    <b v="0"/>
    <n v="14715"/>
    <n v="0"/>
    <n v="0"/>
    <n v="0"/>
    <n v="0"/>
  </r>
  <r>
    <n v="247"/>
    <s v="2021-02-23"/>
    <x v="17"/>
    <x v="8"/>
    <x v="8"/>
    <x v="3"/>
    <x v="8"/>
    <n v="297609"/>
    <n v="16343"/>
    <n v="7.5468147804669886E-3"/>
    <n v="2246"/>
    <b v="0"/>
    <n v="45"/>
    <b v="0"/>
    <n v="8"/>
    <b v="0"/>
    <n v="63848"/>
    <n v="0"/>
    <n v="0"/>
    <n v="0"/>
    <n v="0"/>
  </r>
  <r>
    <n v="15"/>
    <s v="2021-02-02"/>
    <x v="2"/>
    <x v="3"/>
    <x v="3"/>
    <x v="2"/>
    <x v="3"/>
    <n v="314704"/>
    <n v="15153.6"/>
    <n v="7.6103258935380546E-3"/>
    <n v="2395"/>
    <b v="0"/>
    <n v="39"/>
    <b v="0"/>
    <n v="4"/>
    <b v="0"/>
    <n v="12540"/>
    <n v="0"/>
    <n v="0"/>
    <n v="0"/>
    <n v="0"/>
  </r>
  <r>
    <n v="163"/>
    <s v="2021-02-15"/>
    <x v="27"/>
    <x v="6"/>
    <x v="6"/>
    <x v="1"/>
    <x v="6"/>
    <n v="1093435"/>
    <n v="6587.76"/>
    <n v="7.6840415754022874E-3"/>
    <n v="8402"/>
    <b v="0"/>
    <n v="4"/>
    <b v="0"/>
    <n v="1"/>
    <b v="0"/>
    <n v="741"/>
    <n v="0"/>
    <n v="0"/>
    <n v="0"/>
    <n v="0"/>
  </r>
  <r>
    <n v="281"/>
    <s v="2021-02-26"/>
    <x v="7"/>
    <x v="2"/>
    <x v="2"/>
    <x v="1"/>
    <x v="2"/>
    <n v="174375"/>
    <n v="12592.4"/>
    <n v="7.6960573476702512E-3"/>
    <n v="1342"/>
    <b v="0"/>
    <n v="27"/>
    <b v="0"/>
    <n v="4"/>
    <b v="0"/>
    <n v="26556"/>
    <n v="0"/>
    <n v="0"/>
    <n v="0"/>
    <n v="0"/>
  </r>
  <r>
    <n v="56"/>
    <s v="2021-02-06"/>
    <x v="4"/>
    <x v="1"/>
    <x v="1"/>
    <x v="1"/>
    <x v="1"/>
    <n v="310024"/>
    <n v="40407.9"/>
    <n v="7.7123061440404614E-3"/>
    <n v="2391"/>
    <b v="0"/>
    <n v="76"/>
    <b v="0"/>
    <n v="9"/>
    <b v="0"/>
    <n v="46152"/>
    <n v="0"/>
    <n v="0"/>
    <n v="0"/>
    <n v="0"/>
  </r>
  <r>
    <n v="101"/>
    <s v="2021-02-10"/>
    <x v="19"/>
    <x v="5"/>
    <x v="5"/>
    <x v="1"/>
    <x v="5"/>
    <n v="852250"/>
    <n v="43865.9"/>
    <n v="7.7395130536814316E-3"/>
    <n v="6596"/>
    <b v="0"/>
    <n v="132"/>
    <b v="0"/>
    <n v="7"/>
    <b v="0"/>
    <n v="34867"/>
    <n v="0"/>
    <n v="0"/>
    <n v="0"/>
    <n v="0"/>
  </r>
  <r>
    <n v="285"/>
    <s v="2021-02-26"/>
    <x v="7"/>
    <x v="7"/>
    <x v="7"/>
    <x v="3"/>
    <x v="7"/>
    <n v="192489"/>
    <n v="15596"/>
    <n v="7.777067780496548E-3"/>
    <n v="1497"/>
    <b v="0"/>
    <n v="34"/>
    <b v="0"/>
    <n v="5"/>
    <b v="0"/>
    <n v="25205"/>
    <n v="0"/>
    <n v="0"/>
    <n v="0"/>
    <n v="0"/>
  </r>
  <r>
    <n v="268"/>
    <s v="2021-02-25"/>
    <x v="9"/>
    <x v="3"/>
    <x v="3"/>
    <x v="2"/>
    <x v="3"/>
    <n v="61867"/>
    <n v="9472.2199999999993"/>
    <n v="7.8717248290688085E-3"/>
    <n v="487"/>
    <b v="0"/>
    <n v="19"/>
    <b v="0"/>
    <n v="2"/>
    <b v="0"/>
    <n v="5730"/>
    <n v="0"/>
    <n v="0"/>
    <n v="0"/>
    <n v="0"/>
  </r>
  <r>
    <n v="232"/>
    <s v="2021-02-22"/>
    <x v="0"/>
    <x v="1"/>
    <x v="1"/>
    <x v="1"/>
    <x v="1"/>
    <n v="605386"/>
    <n v="59710"/>
    <n v="7.9321292530715945E-3"/>
    <n v="4802"/>
    <b v="0"/>
    <n v="96"/>
    <b v="0"/>
    <n v="12"/>
    <b v="0"/>
    <n v="67632"/>
    <n v="0"/>
    <n v="0"/>
    <n v="0"/>
    <n v="0"/>
  </r>
  <r>
    <n v="185"/>
    <s v="2021-02-17"/>
    <x v="18"/>
    <x v="6"/>
    <x v="6"/>
    <x v="1"/>
    <x v="6"/>
    <n v="1361187"/>
    <n v="291254"/>
    <n v="7.9415980317179054E-3"/>
    <n v="10810"/>
    <b v="0"/>
    <n v="216"/>
    <b v="0"/>
    <n v="32"/>
    <b v="0"/>
    <n v="31392"/>
    <n v="0"/>
    <n v="0"/>
    <n v="0"/>
    <n v="0"/>
  </r>
  <r>
    <n v="133"/>
    <s v="2021-02-13"/>
    <x v="15"/>
    <x v="1"/>
    <x v="1"/>
    <x v="1"/>
    <x v="1"/>
    <n v="1496322"/>
    <n v="308692"/>
    <n v="8.0129811631453659E-3"/>
    <n v="11990"/>
    <b v="0"/>
    <n v="397"/>
    <b v="0"/>
    <n v="60"/>
    <b v="0"/>
    <n v="341880"/>
    <n v="0"/>
    <n v="0"/>
    <n v="0"/>
    <n v="0"/>
  </r>
  <r>
    <n v="262"/>
    <s v="2021-02-24"/>
    <x v="20"/>
    <x v="6"/>
    <x v="6"/>
    <x v="1"/>
    <x v="6"/>
    <n v="148794"/>
    <n v="48796.6"/>
    <n v="8.0379585198327892E-3"/>
    <n v="1196"/>
    <b v="0"/>
    <n v="38"/>
    <b v="0"/>
    <n v="6"/>
    <b v="0"/>
    <n v="8178"/>
    <n v="0"/>
    <n v="0"/>
    <n v="0"/>
    <n v="0"/>
  </r>
  <r>
    <n v="4"/>
    <s v="2021-02-01"/>
    <x v="1"/>
    <x v="3"/>
    <x v="3"/>
    <x v="2"/>
    <x v="3"/>
    <n v="147038"/>
    <n v="6037"/>
    <n v="8.1339517675702872E-3"/>
    <n v="1196"/>
    <b v="0"/>
    <n v="24"/>
    <b v="0"/>
    <n v="1"/>
    <b v="0"/>
    <n v="2114"/>
    <n v="0"/>
    <n v="0"/>
    <n v="0"/>
    <n v="0"/>
  </r>
  <r>
    <n v="39"/>
    <s v="2021-02-04"/>
    <x v="10"/>
    <x v="2"/>
    <x v="2"/>
    <x v="1"/>
    <x v="2"/>
    <n v="1322751"/>
    <n v="104028"/>
    <n v="8.1602659911049012E-3"/>
    <n v="10794"/>
    <b v="0"/>
    <n v="238"/>
    <b v="0"/>
    <n v="27"/>
    <b v="0"/>
    <n v="179037"/>
    <n v="0"/>
    <n v="0"/>
    <n v="0"/>
    <n v="0"/>
  </r>
  <r>
    <n v="1"/>
    <s v="2021-02-01"/>
    <x v="1"/>
    <x v="1"/>
    <x v="1"/>
    <x v="1"/>
    <x v="1"/>
    <n v="148263"/>
    <n v="7307.37"/>
    <n v="8.1611730505925274E-3"/>
    <n v="1210"/>
    <b v="0"/>
    <n v="13"/>
    <b v="0"/>
    <n v="1"/>
    <b v="0"/>
    <n v="4981"/>
    <n v="0"/>
    <n v="0"/>
    <n v="0"/>
    <n v="0"/>
  </r>
  <r>
    <n v="260"/>
    <s v="2021-02-24"/>
    <x v="20"/>
    <x v="4"/>
    <x v="4"/>
    <x v="1"/>
    <x v="4"/>
    <n v="624157"/>
    <n v="18675"/>
    <n v="8.1678167512340642E-3"/>
    <n v="5098"/>
    <b v="0"/>
    <n v="122"/>
    <b v="0"/>
    <n v="6"/>
    <b v="0"/>
    <n v="10590"/>
    <n v="0"/>
    <n v="0"/>
    <n v="0"/>
    <n v="0"/>
  </r>
  <r>
    <n v="170"/>
    <s v="2021-02-16"/>
    <x v="11"/>
    <x v="8"/>
    <x v="8"/>
    <x v="3"/>
    <x v="8"/>
    <n v="4371118"/>
    <n v="221258"/>
    <n v="8.2356504674547786E-3"/>
    <n v="35999"/>
    <b v="0"/>
    <n v="720"/>
    <b v="0"/>
    <n v="128"/>
    <b v="0"/>
    <n v="1021570"/>
    <n v="0"/>
    <n v="0"/>
    <n v="0"/>
    <n v="0"/>
  </r>
  <r>
    <n v="257"/>
    <s v="2021-02-24"/>
    <x v="20"/>
    <x v="3"/>
    <x v="3"/>
    <x v="2"/>
    <x v="3"/>
    <n v="291441"/>
    <n v="22357.599999999999"/>
    <n v="8.262392731290381E-3"/>
    <n v="2408"/>
    <b v="0"/>
    <n v="52"/>
    <b v="0"/>
    <n v="5"/>
    <b v="0"/>
    <n v="19060"/>
    <n v="0"/>
    <n v="0"/>
    <n v="0"/>
    <n v="0"/>
  </r>
  <r>
    <n v="87"/>
    <s v="2021-02-08"/>
    <x v="23"/>
    <x v="7"/>
    <x v="7"/>
    <x v="3"/>
    <x v="7"/>
    <n v="361650"/>
    <n v="31154.3"/>
    <n v="8.2704272086271263E-3"/>
    <n v="2991"/>
    <b v="0"/>
    <n v="60"/>
    <b v="0"/>
    <n v="9"/>
    <b v="0"/>
    <n v="45027"/>
    <n v="0"/>
    <n v="0"/>
    <n v="0"/>
    <n v="0"/>
  </r>
  <r>
    <n v="255"/>
    <s v="2021-02-24"/>
    <x v="20"/>
    <x v="5"/>
    <x v="5"/>
    <x v="1"/>
    <x v="5"/>
    <n v="395127"/>
    <n v="44347.199999999997"/>
    <n v="8.3441526395310883E-3"/>
    <n v="3297"/>
    <b v="0"/>
    <n v="66"/>
    <b v="0"/>
    <n v="7"/>
    <b v="0"/>
    <n v="34867"/>
    <n v="0"/>
    <n v="0"/>
    <n v="0"/>
    <n v="0"/>
  </r>
  <r>
    <n v="295"/>
    <s v="2021-02-27"/>
    <x v="14"/>
    <x v="6"/>
    <x v="6"/>
    <x v="1"/>
    <x v="6"/>
    <n v="13693"/>
    <n v="3098.45"/>
    <n v="8.3984517636748711E-3"/>
    <n v="115"/>
    <b v="0"/>
    <n v="2"/>
    <b v="0"/>
    <n v="0"/>
    <b v="0"/>
    <n v="0"/>
    <n v="0"/>
    <n v="0"/>
    <n v="0"/>
    <n v="0"/>
  </r>
  <r>
    <n v="263"/>
    <s v="2021-02-24"/>
    <x v="20"/>
    <x v="7"/>
    <x v="7"/>
    <x v="3"/>
    <x v="7"/>
    <n v="355802"/>
    <n v="42311.5"/>
    <n v="8.4035502892057939E-3"/>
    <n v="2990"/>
    <b v="0"/>
    <n v="60"/>
    <b v="0"/>
    <n v="9"/>
    <b v="0"/>
    <n v="44829"/>
    <n v="0"/>
    <n v="0"/>
    <n v="0"/>
    <n v="0"/>
  </r>
  <r>
    <n v="38"/>
    <s v="2021-02-04"/>
    <x v="10"/>
    <x v="8"/>
    <x v="8"/>
    <x v="3"/>
    <x v="8"/>
    <n v="2120555"/>
    <n v="185263"/>
    <n v="8.4850428307683603E-3"/>
    <n v="17993"/>
    <b v="0"/>
    <n v="445"/>
    <b v="0"/>
    <n v="89"/>
    <b v="0"/>
    <n v="624958"/>
    <n v="0"/>
    <n v="0"/>
    <n v="0"/>
    <n v="0"/>
  </r>
  <r>
    <n v="303"/>
    <s v="2021-02-28"/>
    <x v="8"/>
    <x v="2"/>
    <x v="2"/>
    <x v="1"/>
    <x v="2"/>
    <n v="63566"/>
    <n v="4950.74"/>
    <n v="8.5894975301261684E-3"/>
    <n v="546"/>
    <b v="0"/>
    <n v="12"/>
    <b v="0"/>
    <n v="1"/>
    <b v="0"/>
    <n v="5981"/>
    <n v="0"/>
    <n v="0"/>
    <n v="0"/>
    <n v="0"/>
  </r>
  <r>
    <n v="98"/>
    <s v="2021-02-09"/>
    <x v="13"/>
    <x v="7"/>
    <x v="7"/>
    <x v="3"/>
    <x v="7"/>
    <n v="346068"/>
    <n v="57642.400000000001"/>
    <n v="8.6861541662332266E-3"/>
    <n v="3006"/>
    <b v="0"/>
    <n v="99"/>
    <b v="0"/>
    <n v="15"/>
    <b v="0"/>
    <n v="89460"/>
    <n v="0"/>
    <n v="0"/>
    <n v="0"/>
    <n v="0"/>
  </r>
  <r>
    <n v="301"/>
    <s v="2021-02-28"/>
    <x v="8"/>
    <x v="3"/>
    <x v="3"/>
    <x v="2"/>
    <x v="3"/>
    <n v="55625"/>
    <n v="384.75"/>
    <n v="8.7550561797752804E-3"/>
    <n v="487"/>
    <b v="0"/>
    <n v="1"/>
    <b v="0"/>
    <n v="0"/>
    <b v="0"/>
    <n v="0"/>
    <n v="0"/>
    <n v="0"/>
    <n v="0"/>
    <n v="0"/>
  </r>
  <r>
    <n v="271"/>
    <s v="2021-02-25"/>
    <x v="9"/>
    <x v="4"/>
    <x v="4"/>
    <x v="1"/>
    <x v="4"/>
    <n v="115468"/>
    <n v="2059.0300000000002"/>
    <n v="8.7903141996050847E-3"/>
    <n v="1015"/>
    <b v="0"/>
    <n v="20"/>
    <b v="0"/>
    <n v="1"/>
    <b v="0"/>
    <n v="1981"/>
    <n v="0"/>
    <n v="0"/>
    <n v="0"/>
    <n v="0"/>
  </r>
  <r>
    <n v="24"/>
    <s v="2021-02-03"/>
    <x v="3"/>
    <x v="5"/>
    <x v="5"/>
    <x v="1"/>
    <x v="5"/>
    <n v="1105666"/>
    <n v="78958.3"/>
    <n v="8.9520705167745046E-3"/>
    <n v="9898"/>
    <b v="0"/>
    <n v="226"/>
    <b v="0"/>
    <n v="12"/>
    <b v="0"/>
    <n v="59772"/>
    <n v="0"/>
    <n v="0"/>
    <n v="0"/>
    <n v="0"/>
  </r>
  <r>
    <n v="73"/>
    <s v="2021-02-07"/>
    <x v="12"/>
    <x v="4"/>
    <x v="4"/>
    <x v="1"/>
    <x v="4"/>
    <n v="567096"/>
    <n v="6747.94"/>
    <n v="8.9984764484320121E-3"/>
    <n v="5103"/>
    <b v="0"/>
    <n v="199"/>
    <b v="0"/>
    <n v="2"/>
    <b v="0"/>
    <n v="3962"/>
    <n v="0"/>
    <n v="0"/>
    <n v="0"/>
    <n v="0"/>
  </r>
  <r>
    <n v="93"/>
    <s v="2021-02-09"/>
    <x v="13"/>
    <x v="8"/>
    <x v="8"/>
    <x v="3"/>
    <x v="8"/>
    <n v="491821"/>
    <n v="27833"/>
    <n v="9.1395040065389652E-3"/>
    <n v="4495"/>
    <b v="0"/>
    <n v="90"/>
    <b v="0"/>
    <n v="18"/>
    <b v="0"/>
    <n v="143658"/>
    <n v="0"/>
    <n v="0"/>
    <n v="0"/>
    <n v="0"/>
  </r>
  <r>
    <n v="269"/>
    <s v="2021-02-25"/>
    <x v="9"/>
    <x v="8"/>
    <x v="8"/>
    <x v="3"/>
    <x v="8"/>
    <n v="94976"/>
    <n v="9034.91"/>
    <n v="9.5181940700808619E-3"/>
    <n v="904"/>
    <b v="0"/>
    <n v="22"/>
    <b v="0"/>
    <n v="5"/>
    <b v="0"/>
    <n v="38030"/>
    <n v="0"/>
    <n v="0"/>
    <n v="0"/>
    <n v="0"/>
  </r>
  <r>
    <n v="60"/>
    <s v="2021-02-06"/>
    <x v="4"/>
    <x v="8"/>
    <x v="8"/>
    <x v="3"/>
    <x v="8"/>
    <n v="472252"/>
    <n v="80971.399999999994"/>
    <n v="9.5457509973488723E-3"/>
    <n v="4508"/>
    <b v="0"/>
    <n v="133"/>
    <b v="0"/>
    <n v="27"/>
    <b v="0"/>
    <n v="215487"/>
    <n v="0"/>
    <n v="0"/>
    <n v="0"/>
    <n v="0"/>
  </r>
  <r>
    <n v="306"/>
    <s v="2021-02-28"/>
    <x v="8"/>
    <x v="6"/>
    <x v="6"/>
    <x v="1"/>
    <x v="6"/>
    <n v="25840"/>
    <n v="6844.8"/>
    <n v="9.5975232198142416E-3"/>
    <n v="248"/>
    <b v="0"/>
    <n v="5"/>
    <b v="0"/>
    <n v="1"/>
    <b v="0"/>
    <n v="1491"/>
    <n v="0"/>
    <n v="0"/>
    <n v="0"/>
    <n v="0"/>
  </r>
  <r>
    <n v="186"/>
    <s v="2021-02-17"/>
    <x v="18"/>
    <x v="7"/>
    <x v="7"/>
    <x v="3"/>
    <x v="7"/>
    <n v="2795511"/>
    <n v="462606"/>
    <n v="9.6547643704496238E-3"/>
    <n v="26990"/>
    <b v="0"/>
    <n v="795"/>
    <b v="0"/>
    <n v="119"/>
    <b v="0"/>
    <n v="592739"/>
    <n v="0"/>
    <n v="0"/>
    <n v="0"/>
    <n v="0"/>
  </r>
  <r>
    <n v="5"/>
    <s v="2021-02-01"/>
    <x v="1"/>
    <x v="8"/>
    <x v="8"/>
    <x v="3"/>
    <x v="8"/>
    <n v="225800"/>
    <n v="29962.2"/>
    <n v="0.01"/>
    <n v="2258"/>
    <b v="0"/>
    <n v="49"/>
    <b v="0"/>
    <n v="10"/>
    <b v="0"/>
    <n v="84490"/>
    <n v="0"/>
    <n v="0"/>
    <n v="0"/>
    <n v="0"/>
  </r>
  <r>
    <n v="16"/>
    <s v="2021-02-02"/>
    <x v="2"/>
    <x v="8"/>
    <x v="8"/>
    <x v="3"/>
    <x v="8"/>
    <n v="449200"/>
    <n v="42301.1"/>
    <n v="0.01"/>
    <n v="4492"/>
    <b v="0"/>
    <n v="85"/>
    <b v="0"/>
    <n v="17"/>
    <b v="0"/>
    <n v="149141"/>
    <n v="0"/>
    <n v="0"/>
    <n v="0"/>
    <n v="0"/>
  </r>
  <r>
    <n v="21"/>
    <s v="2021-02-02"/>
    <x v="2"/>
    <x v="7"/>
    <x v="7"/>
    <x v="3"/>
    <x v="7"/>
    <n v="299600"/>
    <n v="13919.1"/>
    <n v="0.01"/>
    <n v="2996"/>
    <b v="0"/>
    <n v="19"/>
    <b v="0"/>
    <n v="3"/>
    <b v="0"/>
    <n v="14466"/>
    <n v="0"/>
    <n v="0"/>
    <n v="0"/>
    <n v="0"/>
  </r>
  <r>
    <n v="43"/>
    <s v="2021-02-04"/>
    <x v="10"/>
    <x v="7"/>
    <x v="7"/>
    <x v="3"/>
    <x v="7"/>
    <n v="1199300"/>
    <n v="149279"/>
    <n v="0.01"/>
    <n v="11993"/>
    <b v="0"/>
    <n v="267"/>
    <b v="0"/>
    <n v="38"/>
    <b v="0"/>
    <n v="224542"/>
    <n v="0"/>
    <n v="0"/>
    <n v="0"/>
    <n v="0"/>
  </r>
  <r>
    <n v="53"/>
    <s v="2021-02-05"/>
    <x v="16"/>
    <x v="6"/>
    <x v="6"/>
    <x v="1"/>
    <x v="6"/>
    <n v="600400"/>
    <n v="192789"/>
    <n v="0.01"/>
    <n v="6004"/>
    <b v="0"/>
    <n v="120"/>
    <b v="0"/>
    <n v="21"/>
    <b v="0"/>
    <n v="9492"/>
    <n v="0"/>
    <n v="0"/>
    <n v="0"/>
    <n v="0"/>
  </r>
  <r>
    <n v="64"/>
    <s v="2021-02-06"/>
    <x v="4"/>
    <x v="6"/>
    <x v="6"/>
    <x v="1"/>
    <x v="6"/>
    <n v="119700"/>
    <n v="29281"/>
    <n v="0.01"/>
    <n v="1197"/>
    <b v="0"/>
    <n v="24"/>
    <b v="0"/>
    <n v="4"/>
    <b v="0"/>
    <n v="6428"/>
    <n v="0"/>
    <n v="0"/>
    <n v="0"/>
    <n v="0"/>
  </r>
  <r>
    <n v="65"/>
    <s v="2021-02-06"/>
    <x v="4"/>
    <x v="7"/>
    <x v="7"/>
    <x v="3"/>
    <x v="7"/>
    <n v="300700"/>
    <n v="8289.2099999999991"/>
    <n v="0.01"/>
    <n v="3007"/>
    <b v="0"/>
    <n v="20"/>
    <b v="0"/>
    <n v="2"/>
    <b v="0"/>
    <n v="9450"/>
    <n v="0"/>
    <n v="0"/>
    <n v="0"/>
    <n v="0"/>
  </r>
  <r>
    <n v="76"/>
    <s v="2021-02-07"/>
    <x v="12"/>
    <x v="7"/>
    <x v="7"/>
    <x v="3"/>
    <x v="7"/>
    <n v="300700"/>
    <n v="46167.6"/>
    <n v="0.01"/>
    <n v="3007"/>
    <b v="0"/>
    <n v="93"/>
    <b v="0"/>
    <n v="12"/>
    <b v="0"/>
    <n v="68076"/>
    <n v="0"/>
    <n v="0"/>
    <n v="0"/>
    <n v="0"/>
  </r>
  <r>
    <n v="86"/>
    <s v="2021-02-08"/>
    <x v="23"/>
    <x v="6"/>
    <x v="6"/>
    <x v="1"/>
    <x v="6"/>
    <n v="120200"/>
    <n v="40099"/>
    <n v="0.01"/>
    <n v="1202"/>
    <b v="0"/>
    <n v="24"/>
    <b v="0"/>
    <n v="5"/>
    <b v="0"/>
    <n v="4905"/>
    <n v="0"/>
    <n v="0"/>
    <n v="0"/>
    <n v="0"/>
  </r>
  <r>
    <n v="119"/>
    <s v="2021-02-11"/>
    <x v="25"/>
    <x v="6"/>
    <x v="6"/>
    <x v="1"/>
    <x v="6"/>
    <n v="359500"/>
    <n v="6171.15"/>
    <n v="0.01"/>
    <n v="3595"/>
    <b v="0"/>
    <n v="5"/>
    <b v="0"/>
    <n v="1"/>
    <b v="0"/>
    <n v="677"/>
    <n v="0"/>
    <n v="0"/>
    <n v="0"/>
    <n v="0"/>
  </r>
  <r>
    <n v="120"/>
    <s v="2021-02-11"/>
    <x v="25"/>
    <x v="7"/>
    <x v="7"/>
    <x v="3"/>
    <x v="7"/>
    <n v="900400"/>
    <n v="128751"/>
    <n v="0.01"/>
    <n v="9004"/>
    <b v="0"/>
    <n v="227"/>
    <b v="0"/>
    <n v="29"/>
    <b v="0"/>
    <n v="143869"/>
    <n v="0"/>
    <n v="0"/>
    <n v="0"/>
    <n v="0"/>
  </r>
  <r>
    <n v="130"/>
    <s v="2021-02-12"/>
    <x v="21"/>
    <x v="6"/>
    <x v="6"/>
    <x v="1"/>
    <x v="6"/>
    <n v="480000"/>
    <n v="44580.9"/>
    <n v="0.01"/>
    <n v="4800"/>
    <b v="0"/>
    <n v="33"/>
    <b v="0"/>
    <n v="5"/>
    <b v="0"/>
    <n v="6945"/>
    <n v="0"/>
    <n v="0"/>
    <n v="0"/>
    <n v="0"/>
  </r>
  <r>
    <n v="131"/>
    <s v="2021-02-12"/>
    <x v="21"/>
    <x v="7"/>
    <x v="7"/>
    <x v="3"/>
    <x v="7"/>
    <n v="1200300"/>
    <n v="308572"/>
    <n v="0.01"/>
    <n v="12003"/>
    <b v="0"/>
    <n v="412"/>
    <b v="0"/>
    <n v="79"/>
    <b v="0"/>
    <n v="393499"/>
    <n v="0"/>
    <n v="0"/>
    <n v="0"/>
    <n v="0"/>
  </r>
  <r>
    <n v="137"/>
    <s v="2021-02-13"/>
    <x v="15"/>
    <x v="8"/>
    <x v="8"/>
    <x v="3"/>
    <x v="8"/>
    <n v="2250900"/>
    <n v="205045"/>
    <n v="0.01"/>
    <n v="22509"/>
    <b v="0"/>
    <n v="790"/>
    <b v="0"/>
    <n v="158"/>
    <b v="0"/>
    <n v="1296550"/>
    <n v="0"/>
    <n v="0"/>
    <n v="0"/>
    <n v="0"/>
  </r>
  <r>
    <n v="142"/>
    <s v="2021-02-13"/>
    <x v="15"/>
    <x v="7"/>
    <x v="7"/>
    <x v="3"/>
    <x v="7"/>
    <n v="1499200"/>
    <n v="32770.1"/>
    <n v="0.01"/>
    <n v="14992"/>
    <b v="0"/>
    <n v="50"/>
    <b v="0"/>
    <n v="8"/>
    <b v="0"/>
    <n v="43976"/>
    <n v="0"/>
    <n v="0"/>
    <n v="0"/>
    <n v="0"/>
  </r>
  <r>
    <n v="164"/>
    <s v="2021-02-15"/>
    <x v="27"/>
    <x v="7"/>
    <x v="7"/>
    <x v="3"/>
    <x v="7"/>
    <n v="2100700"/>
    <n v="82452"/>
    <n v="0.01"/>
    <n v="21007"/>
    <b v="0"/>
    <n v="122"/>
    <b v="0"/>
    <n v="24"/>
    <b v="0"/>
    <n v="103392"/>
    <n v="0"/>
    <n v="0"/>
    <n v="0"/>
    <n v="0"/>
  </r>
  <r>
    <n v="181"/>
    <s v="2021-02-17"/>
    <x v="18"/>
    <x v="8"/>
    <x v="8"/>
    <x v="3"/>
    <x v="8"/>
    <n v="4049400"/>
    <n v="363811"/>
    <n v="0.01"/>
    <n v="40494"/>
    <b v="0"/>
    <n v="746"/>
    <b v="0"/>
    <n v="149"/>
    <b v="0"/>
    <n v="1189170"/>
    <n v="0"/>
    <n v="0"/>
    <n v="0"/>
    <n v="0"/>
  </r>
  <r>
    <n v="207"/>
    <s v="2021-02-19"/>
    <x v="22"/>
    <x v="6"/>
    <x v="6"/>
    <x v="1"/>
    <x v="6"/>
    <n v="1320200"/>
    <n v="440355"/>
    <n v="0.01"/>
    <n v="13202"/>
    <b v="0"/>
    <n v="264"/>
    <b v="0"/>
    <n v="45"/>
    <b v="0"/>
    <n v="80325"/>
    <n v="0"/>
    <n v="0"/>
    <n v="0"/>
    <n v="0"/>
  </r>
  <r>
    <n v="208"/>
    <s v="2021-02-19"/>
    <x v="22"/>
    <x v="7"/>
    <x v="7"/>
    <x v="3"/>
    <x v="7"/>
    <n v="3299900"/>
    <n v="404285"/>
    <n v="0.01"/>
    <n v="32999"/>
    <b v="0"/>
    <n v="694"/>
    <b v="0"/>
    <n v="104"/>
    <b v="0"/>
    <n v="519272"/>
    <n v="0"/>
    <n v="0"/>
    <n v="0"/>
    <n v="0"/>
  </r>
  <r>
    <n v="214"/>
    <s v="2021-02-20"/>
    <x v="24"/>
    <x v="8"/>
    <x v="8"/>
    <x v="3"/>
    <x v="8"/>
    <n v="5399300"/>
    <n v="303860"/>
    <n v="0.01"/>
    <n v="53993"/>
    <b v="0"/>
    <n v="1094"/>
    <b v="0"/>
    <n v="182"/>
    <b v="0"/>
    <n v="1452540"/>
    <n v="0"/>
    <n v="0"/>
    <n v="0"/>
    <n v="0"/>
  </r>
  <r>
    <n v="229"/>
    <s v="2021-02-21"/>
    <x v="6"/>
    <x v="6"/>
    <x v="6"/>
    <x v="1"/>
    <x v="6"/>
    <n v="119400"/>
    <n v="32169.9"/>
    <n v="0.01"/>
    <n v="1194"/>
    <b v="0"/>
    <n v="24"/>
    <b v="0"/>
    <n v="4"/>
    <b v="0"/>
    <n v="3924"/>
    <n v="0"/>
    <n v="0"/>
    <n v="0"/>
    <n v="0"/>
  </r>
  <r>
    <n v="230"/>
    <s v="2021-02-21"/>
    <x v="6"/>
    <x v="7"/>
    <x v="7"/>
    <x v="3"/>
    <x v="7"/>
    <n v="300900"/>
    <n v="65006.3"/>
    <n v="0.01"/>
    <n v="3009"/>
    <b v="0"/>
    <n v="89"/>
    <b v="0"/>
    <n v="17"/>
    <b v="0"/>
    <n v="84677"/>
    <n v="0"/>
    <n v="0"/>
    <n v="0"/>
    <n v="0"/>
  </r>
  <r>
    <n v="240"/>
    <s v="2021-02-22"/>
    <x v="0"/>
    <x v="6"/>
    <x v="6"/>
    <x v="1"/>
    <x v="6"/>
    <n v="239600"/>
    <n v="51783.3"/>
    <n v="0.01"/>
    <n v="2396"/>
    <b v="0"/>
    <n v="48"/>
    <b v="0"/>
    <n v="6"/>
    <b v="0"/>
    <n v="5886"/>
    <n v="0"/>
    <n v="0"/>
    <n v="0"/>
    <n v="0"/>
  </r>
  <r>
    <n v="241"/>
    <s v="2021-02-22"/>
    <x v="0"/>
    <x v="7"/>
    <x v="7"/>
    <x v="3"/>
    <x v="7"/>
    <n v="599700"/>
    <n v="137382"/>
    <n v="0.01"/>
    <n v="5997"/>
    <b v="0"/>
    <n v="236"/>
    <b v="0"/>
    <n v="35"/>
    <b v="0"/>
    <n v="158340"/>
    <n v="0"/>
    <n v="0"/>
    <n v="0"/>
    <n v="0"/>
  </r>
  <r>
    <n v="251"/>
    <s v="2021-02-23"/>
    <x v="17"/>
    <x v="6"/>
    <x v="6"/>
    <x v="1"/>
    <x v="6"/>
    <n v="60800"/>
    <n v="16078.6"/>
    <n v="0.01"/>
    <n v="608"/>
    <b v="0"/>
    <n v="12"/>
    <b v="0"/>
    <n v="2"/>
    <b v="0"/>
    <n v="2720"/>
    <n v="0"/>
    <n v="0"/>
    <n v="0"/>
    <n v="0"/>
  </r>
  <r>
    <n v="273"/>
    <s v="2021-02-25"/>
    <x v="9"/>
    <x v="6"/>
    <x v="6"/>
    <x v="1"/>
    <x v="6"/>
    <n v="25000"/>
    <n v="5871.29"/>
    <n v="0.01"/>
    <n v="250"/>
    <b v="0"/>
    <n v="5"/>
    <b v="0"/>
    <n v="1"/>
    <b v="0"/>
    <n v="981"/>
    <n v="0"/>
    <n v="0"/>
    <n v="0"/>
    <n v="0"/>
  </r>
  <r>
    <n v="291"/>
    <s v="2021-02-27"/>
    <x v="14"/>
    <x v="8"/>
    <x v="8"/>
    <x v="3"/>
    <x v="8"/>
    <n v="44000"/>
    <n v="5721.83"/>
    <n v="0.01"/>
    <n v="440"/>
    <b v="0"/>
    <n v="15"/>
    <b v="0"/>
    <n v="3"/>
    <b v="0"/>
    <n v="23943"/>
    <n v="0"/>
    <n v="0"/>
    <n v="0"/>
    <n v="0"/>
  </r>
  <r>
    <n v="196"/>
    <s v="2021-02-18"/>
    <x v="5"/>
    <x v="6"/>
    <x v="6"/>
    <x v="1"/>
    <x v="6"/>
    <n v="1181224"/>
    <n v="171831"/>
    <n v="1.0151334547892694E-2"/>
    <n v="11991"/>
    <b v="0"/>
    <n v="128"/>
    <b v="0"/>
    <n v="19"/>
    <b v="0"/>
    <n v="17917"/>
    <n v="0"/>
    <n v="0"/>
    <n v="0"/>
    <n v="0"/>
  </r>
  <r>
    <n v="9"/>
    <s v="2021-02-01"/>
    <x v="1"/>
    <x v="6"/>
    <x v="6"/>
    <x v="1"/>
    <x v="6"/>
    <n v="56916"/>
    <n v="16997.8"/>
    <n v="1.0471572141401363E-2"/>
    <n v="596"/>
    <b v="0"/>
    <n v="14"/>
    <b v="0"/>
    <n v="2"/>
    <b v="0"/>
    <n v="4162"/>
    <n v="0"/>
    <n v="0"/>
    <n v="0"/>
    <n v="0"/>
  </r>
  <r>
    <n v="148"/>
    <s v="2021-02-14"/>
    <x v="26"/>
    <x v="8"/>
    <x v="8"/>
    <x v="3"/>
    <x v="8"/>
    <n v="2511956"/>
    <n v="231751"/>
    <n v="1.0745809241881626E-2"/>
    <n v="26993"/>
    <b v="0"/>
    <n v="540"/>
    <b v="0"/>
    <n v="85"/>
    <b v="0"/>
    <n v="733550"/>
    <n v="0"/>
    <n v="0"/>
    <n v="0"/>
    <n v="0"/>
  </r>
  <r>
    <n v="258"/>
    <s v="2021-02-24"/>
    <x v="20"/>
    <x v="8"/>
    <x v="8"/>
    <x v="3"/>
    <x v="8"/>
    <n v="409320"/>
    <n v="22944.3"/>
    <n v="1.1013388058242939E-2"/>
    <n v="4508"/>
    <b v="0"/>
    <n v="65"/>
    <b v="0"/>
    <n v="14"/>
    <b v="0"/>
    <n v="111734"/>
    <n v="0"/>
    <n v="0"/>
    <n v="0"/>
    <n v="0"/>
  </r>
  <r>
    <n v="284"/>
    <s v="2021-02-26"/>
    <x v="7"/>
    <x v="6"/>
    <x v="6"/>
    <x v="1"/>
    <x v="6"/>
    <n v="55269"/>
    <n v="315.92"/>
    <n v="1.1036928477084804E-2"/>
    <n v="610"/>
    <b v="0"/>
    <n v="0"/>
    <b v="0"/>
    <n v="0"/>
    <b v="0"/>
    <n v="0"/>
    <n v="0"/>
    <n v="0"/>
    <n v="0"/>
    <n v="0"/>
  </r>
  <r>
    <n v="192"/>
    <s v="2021-02-18"/>
    <x v="5"/>
    <x v="8"/>
    <x v="8"/>
    <x v="3"/>
    <x v="8"/>
    <n v="4064081"/>
    <n v="86522.9"/>
    <n v="1.1073598188618781E-2"/>
    <n v="45004"/>
    <b v="0"/>
    <n v="144"/>
    <b v="0"/>
    <n v="31"/>
    <b v="0"/>
    <n v="256897"/>
    <n v="0"/>
    <n v="0"/>
    <n v="0"/>
    <n v="0"/>
  </r>
  <r>
    <n v="42"/>
    <s v="2021-02-04"/>
    <x v="10"/>
    <x v="6"/>
    <x v="6"/>
    <x v="1"/>
    <x v="6"/>
    <n v="432611"/>
    <n v="120335"/>
    <n v="1.1111599104044974E-2"/>
    <n v="4807"/>
    <b v="0"/>
    <n v="71"/>
    <b v="0"/>
    <n v="13"/>
    <b v="0"/>
    <n v="6864"/>
    <n v="0"/>
    <n v="0"/>
    <n v="0"/>
    <n v="0"/>
  </r>
  <r>
    <n v="20"/>
    <s v="2021-02-02"/>
    <x v="2"/>
    <x v="6"/>
    <x v="6"/>
    <x v="1"/>
    <x v="6"/>
    <n v="107553"/>
    <n v="8829.07"/>
    <n v="1.1120098927970397E-2"/>
    <n v="1196"/>
    <b v="0"/>
    <n v="7"/>
    <b v="0"/>
    <n v="1"/>
    <b v="0"/>
    <n v="1129"/>
    <n v="0"/>
    <n v="0"/>
    <n v="0"/>
    <n v="0"/>
  </r>
  <r>
    <n v="115"/>
    <s v="2021-02-11"/>
    <x v="25"/>
    <x v="8"/>
    <x v="8"/>
    <x v="3"/>
    <x v="8"/>
    <n v="1210466"/>
    <n v="197161"/>
    <n v="1.1157686378634344E-2"/>
    <n v="13506"/>
    <b v="0"/>
    <n v="474"/>
    <b v="0"/>
    <n v="95"/>
    <b v="0"/>
    <n v="831820"/>
    <n v="0"/>
    <n v="0"/>
    <n v="0"/>
    <n v="0"/>
  </r>
  <r>
    <n v="49"/>
    <s v="2021-02-05"/>
    <x v="16"/>
    <x v="8"/>
    <x v="8"/>
    <x v="3"/>
    <x v="8"/>
    <n v="1965108"/>
    <n v="442617"/>
    <n v="1.1453314525206757E-2"/>
    <n v="22507"/>
    <b v="0"/>
    <n v="731"/>
    <b v="0"/>
    <n v="146"/>
    <b v="0"/>
    <n v="1165230"/>
    <n v="0"/>
    <n v="0"/>
    <n v="0"/>
    <n v="0"/>
  </r>
  <r>
    <n v="280"/>
    <s v="2021-02-26"/>
    <x v="7"/>
    <x v="8"/>
    <x v="8"/>
    <x v="3"/>
    <x v="8"/>
    <n v="195016"/>
    <n v="38804.199999999997"/>
    <n v="1.1522131517413955E-2"/>
    <n v="2247"/>
    <b v="0"/>
    <n v="82"/>
    <b v="0"/>
    <n v="16"/>
    <b v="0"/>
    <n v="127696"/>
    <n v="0"/>
    <n v="0"/>
    <n v="0"/>
    <n v="0"/>
  </r>
  <r>
    <n v="236"/>
    <s v="2021-02-22"/>
    <x v="0"/>
    <x v="8"/>
    <x v="8"/>
    <x v="3"/>
    <x v="8"/>
    <n v="757387"/>
    <n v="77803.8"/>
    <n v="1.1878999771583087E-2"/>
    <n v="8997"/>
    <b v="0"/>
    <n v="180"/>
    <b v="0"/>
    <n v="42"/>
    <b v="0"/>
    <n v="359394"/>
    <n v="0"/>
    <n v="0"/>
    <n v="0"/>
    <n v="0"/>
  </r>
  <r>
    <n v="152"/>
    <s v="2021-02-14"/>
    <x v="26"/>
    <x v="6"/>
    <x v="6"/>
    <x v="1"/>
    <x v="6"/>
    <n v="605220"/>
    <n v="170719"/>
    <n v="1.1904761904761904E-2"/>
    <n v="7205"/>
    <b v="0"/>
    <n v="142"/>
    <b v="0"/>
    <n v="21"/>
    <b v="0"/>
    <n v="14280"/>
    <n v="0"/>
    <n v="0"/>
    <n v="0"/>
    <n v="0"/>
  </r>
  <r>
    <n v="197"/>
    <s v="2021-02-18"/>
    <x v="5"/>
    <x v="7"/>
    <x v="7"/>
    <x v="3"/>
    <x v="7"/>
    <n v="2482796"/>
    <n v="518530"/>
    <n v="1.2083151414775922E-2"/>
    <n v="30000"/>
    <b v="0"/>
    <n v="1032"/>
    <b v="0"/>
    <n v="134"/>
    <b v="0"/>
    <n v="796630"/>
    <n v="0"/>
    <n v="0"/>
    <n v="0"/>
    <n v="0"/>
  </r>
  <r>
    <n v="141"/>
    <s v="2021-02-13"/>
    <x v="15"/>
    <x v="6"/>
    <x v="6"/>
    <x v="1"/>
    <x v="6"/>
    <n v="495013"/>
    <n v="171332"/>
    <n v="1.2133014688503131E-2"/>
    <n v="6006"/>
    <b v="0"/>
    <n v="128"/>
    <b v="0"/>
    <n v="19"/>
    <b v="0"/>
    <n v="24035"/>
    <n v="0"/>
    <n v="0"/>
    <n v="0"/>
    <n v="0"/>
  </r>
  <r>
    <n v="31"/>
    <s v="2021-02-03"/>
    <x v="3"/>
    <x v="6"/>
    <x v="6"/>
    <x v="1"/>
    <x v="6"/>
    <n v="295009"/>
    <n v="76716.399999999994"/>
    <n v="1.2186068899592895E-2"/>
    <n v="3595"/>
    <b v="0"/>
    <n v="72"/>
    <b v="0"/>
    <n v="9"/>
    <b v="0"/>
    <n v="5607"/>
    <n v="0"/>
    <n v="0"/>
    <n v="0"/>
    <n v="0"/>
  </r>
  <r>
    <n v="109"/>
    <s v="2021-02-10"/>
    <x v="19"/>
    <x v="7"/>
    <x v="7"/>
    <x v="3"/>
    <x v="7"/>
    <n v="489728"/>
    <n v="126901"/>
    <n v="1.2261908651332984E-2"/>
    <n v="6005"/>
    <b v="0"/>
    <n v="187"/>
    <b v="0"/>
    <n v="34"/>
    <b v="0"/>
    <n v="143888"/>
    <n v="0"/>
    <n v="0"/>
    <n v="0"/>
    <n v="0"/>
  </r>
  <r>
    <n v="296"/>
    <s v="2021-02-27"/>
    <x v="14"/>
    <x v="7"/>
    <x v="7"/>
    <x v="3"/>
    <x v="7"/>
    <n v="24018"/>
    <n v="3524.08"/>
    <n v="1.2407361145807311E-2"/>
    <n v="298"/>
    <b v="0"/>
    <n v="6"/>
    <b v="0"/>
    <n v="1"/>
    <b v="0"/>
    <n v="4661"/>
    <n v="0"/>
    <n v="0"/>
    <n v="0"/>
    <n v="0"/>
  </r>
  <r>
    <n v="10"/>
    <s v="2021-02-01"/>
    <x v="1"/>
    <x v="7"/>
    <x v="7"/>
    <x v="3"/>
    <x v="7"/>
    <n v="120436"/>
    <n v="23604.1"/>
    <n v="1.2438141419509116E-2"/>
    <n v="1498"/>
    <b v="0"/>
    <n v="49"/>
    <b v="0"/>
    <n v="7"/>
    <b v="0"/>
    <n v="39081"/>
    <n v="0"/>
    <n v="0"/>
    <n v="0"/>
    <n v="0"/>
  </r>
  <r>
    <n v="274"/>
    <s v="2021-02-25"/>
    <x v="9"/>
    <x v="7"/>
    <x v="7"/>
    <x v="3"/>
    <x v="7"/>
    <n v="46753"/>
    <n v="6227.53"/>
    <n v="1.2640900049194704E-2"/>
    <n v="591"/>
    <b v="0"/>
    <n v="12"/>
    <b v="0"/>
    <n v="2"/>
    <b v="0"/>
    <n v="10130"/>
    <n v="0"/>
    <n v="0"/>
    <n v="0"/>
    <n v="0"/>
  </r>
  <r>
    <n v="159"/>
    <s v="2021-02-15"/>
    <x v="27"/>
    <x v="8"/>
    <x v="8"/>
    <x v="3"/>
    <x v="8"/>
    <n v="2478877"/>
    <n v="151480"/>
    <n v="1.2708980719898568E-2"/>
    <n v="31504"/>
    <b v="0"/>
    <n v="630"/>
    <b v="0"/>
    <n v="98"/>
    <b v="0"/>
    <n v="782138"/>
    <n v="0"/>
    <n v="0"/>
    <n v="0"/>
    <n v="0"/>
  </r>
  <r>
    <n v="252"/>
    <s v="2021-02-23"/>
    <x v="17"/>
    <x v="7"/>
    <x v="7"/>
    <x v="3"/>
    <x v="7"/>
    <n v="117218"/>
    <n v="15435"/>
    <n v="1.2796669453496903E-2"/>
    <n v="1500"/>
    <b v="0"/>
    <n v="31"/>
    <b v="0"/>
    <n v="4"/>
    <b v="0"/>
    <n v="17816"/>
    <n v="0"/>
    <n v="0"/>
    <n v="0"/>
    <n v="0"/>
  </r>
  <r>
    <n v="218"/>
    <s v="2021-02-20"/>
    <x v="24"/>
    <x v="6"/>
    <x v="6"/>
    <x v="1"/>
    <x v="6"/>
    <n v="1118531"/>
    <n v="173041"/>
    <n v="1.2873134495154806E-2"/>
    <n v="14399"/>
    <b v="0"/>
    <n v="113"/>
    <b v="0"/>
    <n v="18"/>
    <b v="0"/>
    <n v="17658"/>
    <n v="0"/>
    <n v="0"/>
    <n v="0"/>
    <n v="0"/>
  </r>
  <r>
    <n v="203"/>
    <s v="2021-02-19"/>
    <x v="22"/>
    <x v="8"/>
    <x v="8"/>
    <x v="3"/>
    <x v="8"/>
    <n v="3801165"/>
    <n v="880357"/>
    <n v="1.3024954191675446E-2"/>
    <n v="49510"/>
    <b v="0"/>
    <n v="1666"/>
    <b v="0"/>
    <n v="369"/>
    <b v="0"/>
    <n v="2812520"/>
    <n v="0"/>
    <n v="0"/>
    <n v="0"/>
    <n v="0"/>
  </r>
  <r>
    <n v="27"/>
    <s v="2021-02-03"/>
    <x v="3"/>
    <x v="8"/>
    <x v="8"/>
    <x v="3"/>
    <x v="8"/>
    <n v="1035261"/>
    <n v="189341"/>
    <n v="1.3043087685134474E-2"/>
    <n v="13503"/>
    <b v="0"/>
    <n v="455"/>
    <b v="0"/>
    <n v="91"/>
    <b v="0"/>
    <n v="772499"/>
    <n v="0"/>
    <n v="0"/>
    <n v="0"/>
    <n v="0"/>
  </r>
  <r>
    <n v="32"/>
    <s v="2021-02-03"/>
    <x v="3"/>
    <x v="7"/>
    <x v="7"/>
    <x v="3"/>
    <x v="7"/>
    <n v="667352"/>
    <n v="194336"/>
    <n v="1.3480142413598821E-2"/>
    <n v="8996"/>
    <b v="0"/>
    <n v="342"/>
    <b v="0"/>
    <n v="51"/>
    <b v="0"/>
    <n v="254031"/>
    <n v="0"/>
    <n v="0"/>
    <n v="0"/>
    <n v="0"/>
  </r>
  <r>
    <n v="126"/>
    <s v="2021-02-12"/>
    <x v="21"/>
    <x v="8"/>
    <x v="8"/>
    <x v="3"/>
    <x v="8"/>
    <n v="1299708"/>
    <n v="121652"/>
    <n v="1.3844648182514841E-2"/>
    <n v="17994"/>
    <b v="0"/>
    <n v="378"/>
    <b v="0"/>
    <n v="61"/>
    <b v="0"/>
    <n v="486841"/>
    <n v="0"/>
    <n v="0"/>
    <n v="0"/>
    <n v="0"/>
  </r>
  <r>
    <n v="300"/>
    <s v="2021-02-28"/>
    <x v="8"/>
    <x v="9"/>
    <x v="9"/>
    <x v="2"/>
    <x v="9"/>
    <n v="11554"/>
    <n v="3529.73"/>
    <n v="1.6184871040332352E-2"/>
    <n v="187"/>
    <b v="0"/>
    <n v="5"/>
    <b v="0"/>
    <n v="1"/>
    <b v="0"/>
    <n v="8714"/>
    <n v="0"/>
    <n v="0"/>
    <n v="0"/>
    <n v="0"/>
  </r>
  <r>
    <n v="102"/>
    <s v="2021-02-10"/>
    <x v="19"/>
    <x v="9"/>
    <x v="9"/>
    <x v="2"/>
    <x v="9"/>
    <n v="108748"/>
    <n v="51883.1"/>
    <n v="1.6524441828815243E-2"/>
    <n v="1797"/>
    <b v="0"/>
    <n v="57"/>
    <b v="0"/>
    <n v="11"/>
    <b v="0"/>
    <n v="86724"/>
    <n v="0"/>
    <n v="0"/>
    <n v="0"/>
    <n v="0"/>
  </r>
  <r>
    <n v="179"/>
    <s v="2021-02-17"/>
    <x v="18"/>
    <x v="9"/>
    <x v="9"/>
    <x v="2"/>
    <x v="9"/>
    <n v="490058"/>
    <n v="116213"/>
    <n v="1.653681809091985E-2"/>
    <n v="8104"/>
    <b v="0"/>
    <n v="162"/>
    <b v="0"/>
    <n v="31"/>
    <b v="0"/>
    <n v="227726"/>
    <n v="0"/>
    <n v="0"/>
    <n v="0"/>
    <n v="0"/>
  </r>
  <r>
    <n v="190"/>
    <s v="2021-02-18"/>
    <x v="5"/>
    <x v="9"/>
    <x v="9"/>
    <x v="2"/>
    <x v="9"/>
    <n v="527210"/>
    <n v="119542"/>
    <n v="1.7078583486656172E-2"/>
    <n v="9004"/>
    <b v="0"/>
    <n v="162"/>
    <b v="0"/>
    <n v="28"/>
    <b v="0"/>
    <n v="214368"/>
    <n v="0"/>
    <n v="0"/>
    <n v="0"/>
    <n v="0"/>
  </r>
  <r>
    <n v="80"/>
    <s v="2021-02-08"/>
    <x v="23"/>
    <x v="9"/>
    <x v="9"/>
    <x v="2"/>
    <x v="9"/>
    <n v="51350"/>
    <n v="6918.85"/>
    <n v="1.7604673807205453E-2"/>
    <n v="904"/>
    <b v="0"/>
    <n v="20"/>
    <b v="0"/>
    <n v="2"/>
    <b v="0"/>
    <n v="16240"/>
    <n v="0"/>
    <n v="0"/>
    <n v="0"/>
    <n v="0"/>
  </r>
  <r>
    <n v="289"/>
    <s v="2021-02-27"/>
    <x v="14"/>
    <x v="9"/>
    <x v="9"/>
    <x v="2"/>
    <x v="9"/>
    <n v="4662"/>
    <n v="1754.25"/>
    <n v="1.7803517803517802E-2"/>
    <n v="83"/>
    <b v="0"/>
    <n v="2"/>
    <b v="0"/>
    <n v="0"/>
    <b v="0"/>
    <n v="0"/>
    <n v="0"/>
    <n v="0"/>
    <n v="0"/>
    <n v="0"/>
  </r>
  <r>
    <n v="223"/>
    <s v="2021-02-21"/>
    <x v="6"/>
    <x v="9"/>
    <x v="9"/>
    <x v="2"/>
    <x v="9"/>
    <n v="49655"/>
    <n v="9444.1200000000008"/>
    <n v="1.8266035645957104E-2"/>
    <n v="907"/>
    <b v="0"/>
    <n v="18"/>
    <b v="0"/>
    <n v="2"/>
    <b v="0"/>
    <n v="15962"/>
    <n v="0"/>
    <n v="0"/>
    <n v="0"/>
    <n v="0"/>
  </r>
  <r>
    <n v="36"/>
    <s v="2021-02-04"/>
    <x v="10"/>
    <x v="9"/>
    <x v="9"/>
    <x v="2"/>
    <x v="9"/>
    <n v="196484"/>
    <n v="41269.599999999999"/>
    <n v="1.8317013090124387E-2"/>
    <n v="3599"/>
    <b v="0"/>
    <n v="55"/>
    <b v="0"/>
    <n v="9"/>
    <b v="0"/>
    <n v="68589"/>
    <n v="0"/>
    <n v="0"/>
    <n v="0"/>
    <n v="0"/>
  </r>
  <r>
    <n v="47"/>
    <s v="2021-02-05"/>
    <x v="16"/>
    <x v="9"/>
    <x v="9"/>
    <x v="2"/>
    <x v="9"/>
    <n v="236719"/>
    <n v="96930.6"/>
    <n v="1.902677858558037E-2"/>
    <n v="4504"/>
    <b v="0"/>
    <n v="151"/>
    <b v="0"/>
    <n v="23"/>
    <b v="0"/>
    <n v="177882"/>
    <n v="0"/>
    <n v="0"/>
    <n v="0"/>
    <n v="0"/>
  </r>
  <r>
    <n v="168"/>
    <s v="2021-02-16"/>
    <x v="11"/>
    <x v="9"/>
    <x v="9"/>
    <x v="2"/>
    <x v="9"/>
    <n v="373184"/>
    <n v="102053"/>
    <n v="1.9288072371805864E-2"/>
    <n v="7198"/>
    <b v="0"/>
    <n v="144"/>
    <b v="0"/>
    <n v="22"/>
    <b v="0"/>
    <n v="185482"/>
    <n v="0"/>
    <n v="0"/>
    <n v="0"/>
    <n v="0"/>
  </r>
  <r>
    <n v="245"/>
    <s v="2021-02-23"/>
    <x v="17"/>
    <x v="9"/>
    <x v="9"/>
    <x v="2"/>
    <x v="9"/>
    <n v="22175"/>
    <n v="5409.21"/>
    <n v="1.9932356257046223E-2"/>
    <n v="442"/>
    <b v="0"/>
    <n v="9"/>
    <b v="0"/>
    <n v="2"/>
    <b v="0"/>
    <n v="15050"/>
    <n v="0"/>
    <n v="0"/>
    <n v="0"/>
    <n v="0"/>
  </r>
  <r>
    <n v="3"/>
    <s v="2021-02-01"/>
    <x v="1"/>
    <x v="9"/>
    <x v="9"/>
    <x v="2"/>
    <x v="9"/>
    <n v="22850"/>
    <n v="5221.6000000000004"/>
    <n v="0.02"/>
    <n v="457"/>
    <b v="0"/>
    <n v="9"/>
    <b v="0"/>
    <n v="1"/>
    <b v="0"/>
    <n v="7981"/>
    <n v="0"/>
    <n v="0"/>
    <n v="0"/>
    <n v="0"/>
  </r>
  <r>
    <n v="25"/>
    <s v="2021-02-03"/>
    <x v="3"/>
    <x v="9"/>
    <x v="9"/>
    <x v="2"/>
    <x v="9"/>
    <n v="134900"/>
    <n v="77345.5"/>
    <n v="0.02"/>
    <n v="2698"/>
    <b v="0"/>
    <n v="84"/>
    <b v="0"/>
    <n v="16"/>
    <b v="0"/>
    <n v="115856"/>
    <n v="0"/>
    <n v="0"/>
    <n v="0"/>
    <n v="0"/>
  </r>
  <r>
    <n v="58"/>
    <s v="2021-02-06"/>
    <x v="4"/>
    <x v="9"/>
    <x v="9"/>
    <x v="2"/>
    <x v="9"/>
    <n v="44950"/>
    <n v="6768.87"/>
    <n v="0.02"/>
    <n v="899"/>
    <b v="0"/>
    <n v="13"/>
    <b v="0"/>
    <n v="1"/>
    <b v="0"/>
    <n v="8136"/>
    <n v="0"/>
    <n v="0"/>
    <n v="0"/>
    <n v="0"/>
  </r>
  <r>
    <n v="69"/>
    <s v="2021-02-07"/>
    <x v="12"/>
    <x v="9"/>
    <x v="9"/>
    <x v="2"/>
    <x v="9"/>
    <n v="44650"/>
    <n v="6426"/>
    <n v="0.02"/>
    <n v="893"/>
    <b v="0"/>
    <n v="18"/>
    <b v="0"/>
    <n v="2"/>
    <b v="0"/>
    <n v="14152"/>
    <n v="0"/>
    <n v="0"/>
    <n v="0"/>
    <n v="0"/>
  </r>
  <r>
    <n v="91"/>
    <s v="2021-02-09"/>
    <x v="13"/>
    <x v="9"/>
    <x v="9"/>
    <x v="2"/>
    <x v="9"/>
    <n v="44900"/>
    <n v="3095.21"/>
    <n v="0.02"/>
    <n v="898"/>
    <b v="0"/>
    <n v="5"/>
    <b v="0"/>
    <n v="1"/>
    <b v="0"/>
    <n v="7998"/>
    <n v="0"/>
    <n v="0"/>
    <n v="0"/>
    <n v="0"/>
  </r>
  <r>
    <n v="113"/>
    <s v="2021-02-11"/>
    <x v="25"/>
    <x v="9"/>
    <x v="9"/>
    <x v="2"/>
    <x v="9"/>
    <n v="134600"/>
    <n v="26220.400000000001"/>
    <n v="0.02"/>
    <n v="2692"/>
    <b v="0"/>
    <n v="54"/>
    <b v="0"/>
    <n v="6"/>
    <b v="0"/>
    <n v="48990"/>
    <n v="0"/>
    <n v="0"/>
    <n v="0"/>
    <n v="0"/>
  </r>
  <r>
    <n v="135"/>
    <s v="2021-02-13"/>
    <x v="15"/>
    <x v="9"/>
    <x v="9"/>
    <x v="2"/>
    <x v="9"/>
    <n v="225350"/>
    <n v="61588.1"/>
    <n v="0.02"/>
    <n v="4507"/>
    <b v="0"/>
    <n v="100"/>
    <b v="0"/>
    <n v="17"/>
    <b v="0"/>
    <n v="152660"/>
    <n v="0"/>
    <n v="0"/>
    <n v="0"/>
    <n v="0"/>
  </r>
  <r>
    <n v="157"/>
    <s v="2021-02-15"/>
    <x v="27"/>
    <x v="9"/>
    <x v="9"/>
    <x v="2"/>
    <x v="9"/>
    <n v="315350"/>
    <n v="82930.7"/>
    <n v="0.02"/>
    <n v="6307"/>
    <b v="0"/>
    <n v="126"/>
    <b v="0"/>
    <n v="19"/>
    <b v="0"/>
    <n v="138073"/>
    <n v="0"/>
    <n v="0"/>
    <n v="0"/>
    <n v="0"/>
  </r>
  <r>
    <n v="212"/>
    <s v="2021-02-20"/>
    <x v="24"/>
    <x v="9"/>
    <x v="9"/>
    <x v="2"/>
    <x v="9"/>
    <n v="540450"/>
    <n v="190469"/>
    <n v="0.02"/>
    <n v="10809"/>
    <b v="0"/>
    <n v="359"/>
    <b v="0"/>
    <n v="47"/>
    <b v="0"/>
    <n v="365378"/>
    <n v="0"/>
    <n v="0"/>
    <n v="0"/>
    <n v="0"/>
  </r>
  <r>
    <n v="234"/>
    <s v="2021-02-22"/>
    <x v="0"/>
    <x v="9"/>
    <x v="9"/>
    <x v="2"/>
    <x v="9"/>
    <n v="90500"/>
    <n v="30645.4"/>
    <n v="0.02"/>
    <n v="1810"/>
    <b v="0"/>
    <n v="65"/>
    <b v="0"/>
    <n v="7"/>
    <b v="0"/>
    <n v="59045"/>
    <n v="0"/>
    <n v="0"/>
    <n v="0"/>
    <n v="0"/>
  </r>
  <r>
    <n v="256"/>
    <s v="2021-02-24"/>
    <x v="20"/>
    <x v="9"/>
    <x v="9"/>
    <x v="2"/>
    <x v="9"/>
    <n v="45150"/>
    <n v="14306.2"/>
    <n v="0.02"/>
    <n v="903"/>
    <b v="0"/>
    <n v="18"/>
    <b v="0"/>
    <n v="3"/>
    <b v="0"/>
    <n v="23943"/>
    <n v="0"/>
    <n v="0"/>
    <n v="0"/>
    <n v="0"/>
  </r>
  <r>
    <n v="267"/>
    <s v="2021-02-25"/>
    <x v="9"/>
    <x v="9"/>
    <x v="9"/>
    <x v="2"/>
    <x v="9"/>
    <n v="8750"/>
    <n v="1078.73"/>
    <n v="0.02"/>
    <n v="175"/>
    <b v="0"/>
    <n v="1"/>
    <b v="0"/>
    <n v="0"/>
    <b v="0"/>
    <n v="0"/>
    <n v="0"/>
    <n v="0"/>
    <n v="0"/>
    <n v="0"/>
  </r>
  <r>
    <n v="278"/>
    <s v="2021-02-26"/>
    <x v="7"/>
    <x v="9"/>
    <x v="9"/>
    <x v="2"/>
    <x v="9"/>
    <n v="22450"/>
    <n v="1545.74"/>
    <n v="0.02"/>
    <n v="449"/>
    <b v="0"/>
    <n v="2"/>
    <b v="0"/>
    <n v="0"/>
    <b v="0"/>
    <n v="0"/>
    <n v="0"/>
    <n v="0"/>
    <n v="0"/>
    <n v="0"/>
  </r>
  <r>
    <n v="146"/>
    <s v="2021-02-14"/>
    <x v="26"/>
    <x v="9"/>
    <x v="9"/>
    <x v="2"/>
    <x v="9"/>
    <n v="263754"/>
    <n v="56440.3"/>
    <n v="2.0507745854091312E-2"/>
    <n v="5409"/>
    <b v="0"/>
    <n v="90"/>
    <b v="0"/>
    <n v="11"/>
    <b v="0"/>
    <n v="84183"/>
    <n v="0"/>
    <n v="0"/>
    <n v="0"/>
    <n v="0"/>
  </r>
  <r>
    <n v="14"/>
    <s v="2021-02-02"/>
    <x v="2"/>
    <x v="9"/>
    <x v="9"/>
    <x v="2"/>
    <x v="9"/>
    <n v="43806"/>
    <n v="11446.7"/>
    <n v="2.0704926265808336E-2"/>
    <n v="907"/>
    <b v="0"/>
    <n v="18"/>
    <b v="0"/>
    <n v="3"/>
    <b v="0"/>
    <n v="23943"/>
    <n v="0"/>
    <n v="0"/>
    <n v="0"/>
    <n v="0"/>
  </r>
  <r>
    <n v="124"/>
    <s v="2021-02-12"/>
    <x v="21"/>
    <x v="9"/>
    <x v="9"/>
    <x v="2"/>
    <x v="9"/>
    <n v="161493"/>
    <n v="59745.3"/>
    <n v="2.230437232573548E-2"/>
    <n v="3602"/>
    <b v="0"/>
    <n v="72"/>
    <b v="0"/>
    <n v="14"/>
    <b v="0"/>
    <n v="122710"/>
    <n v="0"/>
    <n v="0"/>
    <n v="0"/>
    <n v="0"/>
  </r>
  <r>
    <n v="201"/>
    <s v="2021-02-19"/>
    <x v="22"/>
    <x v="9"/>
    <x v="9"/>
    <x v="2"/>
    <x v="9"/>
    <n v="413291"/>
    <n v="9777.5499999999993"/>
    <n v="2.3963744673849659E-2"/>
    <n v="9904"/>
    <b v="0"/>
    <n v="14"/>
    <b v="0"/>
    <n v="2"/>
    <b v="0"/>
    <n v="15962"/>
    <n v="0"/>
    <n v="0"/>
    <n v="0"/>
    <n v="0"/>
  </r>
  <r>
    <n v="8"/>
    <s v="2021-02-01"/>
    <x v="1"/>
    <x v="10"/>
    <x v="10"/>
    <x v="1"/>
    <x v="10"/>
    <n v="5544"/>
    <n v="1293.55"/>
    <n v="2.6695526695526696E-2"/>
    <n v="148"/>
    <b v="0"/>
    <n v="3"/>
    <b v="0"/>
    <n v="1"/>
    <b v="0"/>
    <n v="4981"/>
    <n v="0"/>
    <n v="0"/>
    <n v="0"/>
    <n v="0"/>
  </r>
  <r>
    <n v="228"/>
    <s v="2021-02-21"/>
    <x v="6"/>
    <x v="10"/>
    <x v="10"/>
    <x v="1"/>
    <x v="10"/>
    <n v="10812"/>
    <n v="1555.96"/>
    <n v="2.737698853126156E-2"/>
    <n v="296"/>
    <b v="0"/>
    <n v="3"/>
    <b v="0"/>
    <n v="1"/>
    <b v="0"/>
    <n v="3993"/>
    <n v="0"/>
    <n v="0"/>
    <n v="0"/>
    <n v="0"/>
  </r>
  <r>
    <n v="41"/>
    <s v="2021-02-04"/>
    <x v="10"/>
    <x v="10"/>
    <x v="10"/>
    <x v="1"/>
    <x v="10"/>
    <n v="43160"/>
    <n v="885.75"/>
    <n v="2.7664504170528268E-2"/>
    <n v="1194"/>
    <b v="0"/>
    <n v="4"/>
    <b v="0"/>
    <n v="1"/>
    <b v="0"/>
    <n v="5287"/>
    <n v="0"/>
    <n v="0"/>
    <n v="0"/>
    <n v="0"/>
  </r>
  <r>
    <n v="129"/>
    <s v="2021-02-12"/>
    <x v="21"/>
    <x v="10"/>
    <x v="10"/>
    <x v="1"/>
    <x v="10"/>
    <n v="42587"/>
    <n v="11278.3"/>
    <n v="2.834198229506657E-2"/>
    <n v="1207"/>
    <b v="0"/>
    <n v="34"/>
    <b v="0"/>
    <n v="8"/>
    <b v="0"/>
    <n v="39848"/>
    <n v="0"/>
    <n v="0"/>
    <n v="0"/>
    <n v="0"/>
  </r>
  <r>
    <n v="206"/>
    <s v="2021-02-19"/>
    <x v="22"/>
    <x v="10"/>
    <x v="10"/>
    <x v="1"/>
    <x v="10"/>
    <n v="115166"/>
    <n v="3173.41"/>
    <n v="2.8628240973898548E-2"/>
    <n v="3297"/>
    <b v="0"/>
    <n v="7"/>
    <b v="0"/>
    <n v="1"/>
    <b v="0"/>
    <n v="5199"/>
    <n v="0"/>
    <n v="0"/>
    <n v="0"/>
    <n v="0"/>
  </r>
  <r>
    <n v="283"/>
    <s v="2021-02-26"/>
    <x v="7"/>
    <x v="10"/>
    <x v="10"/>
    <x v="1"/>
    <x v="10"/>
    <n v="4906"/>
    <n v="1071.1600000000001"/>
    <n v="2.914798206278027E-2"/>
    <n v="143"/>
    <b v="0"/>
    <n v="3"/>
    <b v="0"/>
    <n v="1"/>
    <b v="0"/>
    <n v="4981"/>
    <n v="0"/>
    <n v="0"/>
    <n v="0"/>
    <n v="0"/>
  </r>
  <r>
    <n v="74"/>
    <s v="2021-02-07"/>
    <x v="12"/>
    <x v="10"/>
    <x v="10"/>
    <x v="1"/>
    <x v="10"/>
    <n v="9938"/>
    <n v="3435.44"/>
    <n v="2.9583417186556653E-2"/>
    <n v="294"/>
    <b v="0"/>
    <n v="6"/>
    <b v="0"/>
    <n v="1"/>
    <b v="0"/>
    <n v="4981"/>
    <n v="0"/>
    <n v="0"/>
    <n v="0"/>
    <n v="0"/>
  </r>
  <r>
    <n v="272"/>
    <s v="2021-02-25"/>
    <x v="9"/>
    <x v="10"/>
    <x v="10"/>
    <x v="1"/>
    <x v="10"/>
    <n v="2214"/>
    <n v="1487.47"/>
    <n v="2.9810298102981029E-2"/>
    <n v="66"/>
    <b v="0"/>
    <n v="3"/>
    <b v="0"/>
    <n v="1"/>
    <b v="0"/>
    <n v="4461"/>
    <n v="0"/>
    <n v="0"/>
    <n v="0"/>
    <n v="0"/>
  </r>
  <r>
    <n v="96"/>
    <s v="2021-02-09"/>
    <x v="13"/>
    <x v="10"/>
    <x v="10"/>
    <x v="1"/>
    <x v="10"/>
    <n v="9721"/>
    <n v="2152.37"/>
    <n v="2.9832321777594897E-2"/>
    <n v="290"/>
    <b v="0"/>
    <n v="6"/>
    <b v="0"/>
    <n v="1"/>
    <b v="0"/>
    <n v="4353"/>
    <n v="0"/>
    <n v="0"/>
    <n v="0"/>
    <n v="0"/>
  </r>
  <r>
    <n v="294"/>
    <s v="2021-02-27"/>
    <x v="14"/>
    <x v="10"/>
    <x v="10"/>
    <x v="1"/>
    <x v="10"/>
    <n v="667"/>
    <n v="200.42"/>
    <n v="2.9985007496251874E-2"/>
    <n v="20"/>
    <b v="0"/>
    <n v="0"/>
    <b v="0"/>
    <n v="0"/>
    <b v="0"/>
    <n v="0"/>
    <n v="0"/>
    <n v="0"/>
    <n v="0"/>
    <n v="0"/>
  </r>
  <r>
    <n v="85"/>
    <s v="2021-02-08"/>
    <x v="23"/>
    <x v="10"/>
    <x v="10"/>
    <x v="1"/>
    <x v="10"/>
    <n v="10067"/>
    <n v="4336.04"/>
    <n v="2.999900665540876E-2"/>
    <n v="302"/>
    <b v="0"/>
    <n v="10"/>
    <b v="0"/>
    <n v="2"/>
    <b v="0"/>
    <n v="10036"/>
    <n v="0"/>
    <n v="0"/>
    <n v="0"/>
    <n v="0"/>
  </r>
  <r>
    <n v="30"/>
    <s v="2021-02-03"/>
    <x v="3"/>
    <x v="10"/>
    <x v="10"/>
    <x v="1"/>
    <x v="10"/>
    <n v="29867"/>
    <n v="5039.51"/>
    <n v="2.9999665182308233E-2"/>
    <n v="896"/>
    <b v="0"/>
    <n v="18"/>
    <b v="0"/>
    <n v="4"/>
    <b v="0"/>
    <n v="23560"/>
    <n v="0"/>
    <n v="0"/>
    <n v="0"/>
    <n v="0"/>
  </r>
  <r>
    <n v="63"/>
    <s v="2021-02-06"/>
    <x v="4"/>
    <x v="10"/>
    <x v="10"/>
    <x v="1"/>
    <x v="10"/>
    <n v="10200"/>
    <n v="1420.15"/>
    <n v="0.03"/>
    <n v="306"/>
    <b v="0"/>
    <n v="6"/>
    <b v="0"/>
    <n v="1"/>
    <b v="0"/>
    <n v="5492"/>
    <n v="0"/>
    <n v="0"/>
    <n v="0"/>
    <n v="0"/>
  </r>
  <r>
    <n v="173"/>
    <s v="2021-02-16"/>
    <x v="11"/>
    <x v="10"/>
    <x v="10"/>
    <x v="1"/>
    <x v="10"/>
    <n v="80233"/>
    <n v="31712"/>
    <n v="3.0000124636994752E-2"/>
    <n v="2407"/>
    <b v="0"/>
    <n v="48"/>
    <b v="0"/>
    <n v="12"/>
    <b v="0"/>
    <n v="59772"/>
    <n v="0"/>
    <n v="0"/>
    <n v="0"/>
    <n v="0"/>
  </r>
  <r>
    <n v="140"/>
    <s v="2021-02-13"/>
    <x v="15"/>
    <x v="10"/>
    <x v="10"/>
    <x v="1"/>
    <x v="10"/>
    <n v="50333"/>
    <n v="8367.08"/>
    <n v="3.0000198676812428E-2"/>
    <n v="1510"/>
    <b v="0"/>
    <n v="19"/>
    <b v="0"/>
    <n v="4"/>
    <b v="0"/>
    <n v="18828"/>
    <n v="0"/>
    <n v="0"/>
    <n v="0"/>
    <n v="0"/>
  </r>
  <r>
    <n v="19"/>
    <s v="2021-02-02"/>
    <x v="2"/>
    <x v="10"/>
    <x v="10"/>
    <x v="1"/>
    <x v="10"/>
    <n v="10033"/>
    <n v="169.75"/>
    <n v="3.000099671085418E-2"/>
    <n v="301"/>
    <b v="0"/>
    <n v="0"/>
    <b v="0"/>
    <n v="0"/>
    <b v="0"/>
    <n v="0"/>
    <n v="0"/>
    <n v="0"/>
    <n v="0"/>
    <n v="0"/>
  </r>
  <r>
    <n v="305"/>
    <s v="2021-02-28"/>
    <x v="8"/>
    <x v="10"/>
    <x v="10"/>
    <x v="1"/>
    <x v="10"/>
    <n v="1933"/>
    <n v="224.81"/>
    <n v="3.0005173305742368E-2"/>
    <n v="58"/>
    <b v="0"/>
    <n v="0"/>
    <b v="0"/>
    <n v="0"/>
    <b v="0"/>
    <n v="0"/>
    <n v="0"/>
    <n v="0"/>
    <n v="0"/>
    <n v="0"/>
  </r>
  <r>
    <n v="195"/>
    <s v="2021-02-18"/>
    <x v="5"/>
    <x v="10"/>
    <x v="10"/>
    <x v="1"/>
    <x v="10"/>
    <n v="97885"/>
    <n v="17176.7"/>
    <n v="3.0556265004852635E-2"/>
    <n v="2991"/>
    <b v="0"/>
    <n v="28"/>
    <b v="0"/>
    <n v="6"/>
    <b v="0"/>
    <n v="33930"/>
    <n v="0"/>
    <n v="0"/>
    <n v="0"/>
    <n v="0"/>
  </r>
  <r>
    <n v="52"/>
    <s v="2021-02-05"/>
    <x v="16"/>
    <x v="10"/>
    <x v="10"/>
    <x v="1"/>
    <x v="10"/>
    <n v="48954"/>
    <n v="6790.74"/>
    <n v="3.0743146627446174E-2"/>
    <n v="1505"/>
    <b v="0"/>
    <n v="30"/>
    <b v="0"/>
    <n v="5"/>
    <b v="0"/>
    <n v="27060"/>
    <n v="0"/>
    <n v="0"/>
    <n v="0"/>
    <n v="0"/>
  </r>
  <r>
    <n v="250"/>
    <s v="2021-02-23"/>
    <x v="17"/>
    <x v="10"/>
    <x v="10"/>
    <x v="1"/>
    <x v="10"/>
    <n v="4908"/>
    <n v="1238.0899999999999"/>
    <n v="3.1581092094539527E-2"/>
    <n v="155"/>
    <b v="0"/>
    <n v="3"/>
    <b v="0"/>
    <n v="1"/>
    <b v="0"/>
    <n v="5265"/>
    <n v="0"/>
    <n v="0"/>
    <n v="0"/>
    <n v="0"/>
  </r>
  <r>
    <n v="184"/>
    <s v="2021-02-17"/>
    <x v="18"/>
    <x v="10"/>
    <x v="10"/>
    <x v="1"/>
    <x v="10"/>
    <n v="84332"/>
    <n v="31422.5"/>
    <n v="3.1992600673528437E-2"/>
    <n v="2698"/>
    <b v="0"/>
    <n v="54"/>
    <b v="0"/>
    <n v="11"/>
    <b v="0"/>
    <n v="45441"/>
    <n v="0"/>
    <n v="0"/>
    <n v="0"/>
    <n v="0"/>
  </r>
  <r>
    <n v="217"/>
    <s v="2021-02-20"/>
    <x v="24"/>
    <x v="10"/>
    <x v="10"/>
    <x v="1"/>
    <x v="10"/>
    <n v="111784"/>
    <n v="73587.5"/>
    <n v="3.2151291776998499E-2"/>
    <n v="3594"/>
    <b v="0"/>
    <n v="116"/>
    <b v="0"/>
    <n v="24"/>
    <b v="0"/>
    <n v="119544"/>
    <n v="0"/>
    <n v="0"/>
    <n v="0"/>
    <n v="0"/>
  </r>
  <r>
    <n v="151"/>
    <s v="2021-02-14"/>
    <x v="26"/>
    <x v="10"/>
    <x v="10"/>
    <x v="1"/>
    <x v="10"/>
    <n v="55495"/>
    <n v="4764.34"/>
    <n v="3.2255158122353363E-2"/>
    <n v="1790"/>
    <b v="0"/>
    <n v="10"/>
    <b v="0"/>
    <n v="2"/>
    <b v="0"/>
    <n v="10902"/>
    <n v="0"/>
    <n v="0"/>
    <n v="0"/>
    <n v="0"/>
  </r>
  <r>
    <n v="107"/>
    <s v="2021-02-10"/>
    <x v="19"/>
    <x v="10"/>
    <x v="10"/>
    <x v="1"/>
    <x v="10"/>
    <n v="18399"/>
    <n v="12713"/>
    <n v="3.2556117180281535E-2"/>
    <n v="599"/>
    <b v="0"/>
    <n v="22"/>
    <b v="0"/>
    <n v="5"/>
    <b v="0"/>
    <n v="27065"/>
    <n v="0"/>
    <n v="0"/>
    <n v="0"/>
    <n v="0"/>
  </r>
  <r>
    <n v="162"/>
    <s v="2021-02-15"/>
    <x v="27"/>
    <x v="10"/>
    <x v="10"/>
    <x v="1"/>
    <x v="10"/>
    <n v="63986"/>
    <n v="14609.5"/>
    <n v="3.2804050886131343E-2"/>
    <n v="2099"/>
    <b v="0"/>
    <n v="28"/>
    <b v="0"/>
    <n v="5"/>
    <b v="0"/>
    <n v="24905"/>
    <n v="0"/>
    <n v="0"/>
    <n v="0"/>
    <n v="0"/>
  </r>
  <r>
    <n v="261"/>
    <s v="2021-02-24"/>
    <x v="20"/>
    <x v="10"/>
    <x v="10"/>
    <x v="1"/>
    <x v="10"/>
    <n v="8966"/>
    <n v="2857.1"/>
    <n v="3.3125139415569931E-2"/>
    <n v="297"/>
    <b v="0"/>
    <n v="6"/>
    <b v="0"/>
    <n v="1"/>
    <b v="0"/>
    <n v="4981"/>
    <n v="0"/>
    <n v="0"/>
    <n v="0"/>
    <n v="0"/>
  </r>
  <r>
    <n v="118"/>
    <s v="2021-02-11"/>
    <x v="25"/>
    <x v="10"/>
    <x v="10"/>
    <x v="1"/>
    <x v="10"/>
    <n v="26774"/>
    <n v="17711.099999999999"/>
    <n v="3.3353253156046911E-2"/>
    <n v="893"/>
    <b v="0"/>
    <n v="27"/>
    <b v="0"/>
    <n v="6"/>
    <b v="0"/>
    <n v="29886"/>
    <n v="0"/>
    <n v="0"/>
    <n v="0"/>
    <n v="0"/>
  </r>
  <r>
    <n v="239"/>
    <s v="2021-02-22"/>
    <x v="0"/>
    <x v="10"/>
    <x v="10"/>
    <x v="1"/>
    <x v="10"/>
    <n v="17821"/>
    <n v="5792.48"/>
    <n v="3.3555917176364962E-2"/>
    <n v="598"/>
    <b v="0"/>
    <n v="12"/>
    <b v="0"/>
    <n v="3"/>
    <b v="0"/>
    <n v="12168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2D71FA-6412-3B4E-9DF8-BCBE94C420B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33" firstHeaderRow="1" firstDataRow="2" firstDataCol="1"/>
  <pivotFields count="11">
    <pivotField dataField="1" showAll="0"/>
    <pivotField axis="axisRow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axis="axisCol" showAll="0">
      <items count="12">
        <item x="10"/>
        <item x="8"/>
        <item x="7"/>
        <item x="0"/>
        <item x="1"/>
        <item x="2"/>
        <item x="3"/>
        <item x="9"/>
        <item x="5"/>
        <item x="6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2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Count of id" fld="0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E6F991-43B5-7F43-9570-605E9A60F22C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26" firstHeaderRow="1" firstDataRow="1" firstDataCol="1"/>
  <pivotFields count="26">
    <pivotField showAll="0"/>
    <pivotField showAll="0"/>
    <pivotField numFmtId="14" showAll="0"/>
    <pivotField showAll="0"/>
    <pivotField axis="axisRow" showAll="0">
      <items count="12">
        <item x="0"/>
        <item x="6"/>
        <item x="10"/>
        <item x="1"/>
        <item x="5"/>
        <item x="9"/>
        <item x="3"/>
        <item x="7"/>
        <item x="2"/>
        <item x="4"/>
        <item x="8"/>
        <item t="default"/>
      </items>
    </pivotField>
    <pivotField showAll="0"/>
    <pivotField axis="axisRow" showAll="0">
      <items count="12">
        <item x="8"/>
        <item x="0"/>
        <item x="3"/>
        <item x="5"/>
        <item x="1"/>
        <item x="7"/>
        <item x="6"/>
        <item x="4"/>
        <item x="10"/>
        <item x="2"/>
        <item x="9"/>
        <item t="default"/>
      </items>
    </pivotField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4"/>
  </rowFields>
  <rowItems count="23">
    <i>
      <x/>
    </i>
    <i r="1">
      <x v="10"/>
    </i>
    <i>
      <x v="1"/>
    </i>
    <i r="1">
      <x/>
    </i>
    <i>
      <x v="2"/>
    </i>
    <i r="1">
      <x v="6"/>
    </i>
    <i>
      <x v="3"/>
    </i>
    <i r="1">
      <x v="4"/>
    </i>
    <i>
      <x v="4"/>
    </i>
    <i r="1">
      <x v="3"/>
    </i>
    <i>
      <x v="5"/>
    </i>
    <i r="1">
      <x v="7"/>
    </i>
    <i>
      <x v="6"/>
    </i>
    <i r="1">
      <x v="1"/>
    </i>
    <i>
      <x v="7"/>
    </i>
    <i r="1">
      <x v="9"/>
    </i>
    <i>
      <x v="8"/>
    </i>
    <i r="1">
      <x v="2"/>
    </i>
    <i>
      <x v="9"/>
    </i>
    <i r="1">
      <x v="8"/>
    </i>
    <i>
      <x v="10"/>
    </i>
    <i r="1">
      <x v="5"/>
    </i>
    <i t="grand">
      <x/>
    </i>
  </rowItems>
  <colItems count="1">
    <i/>
  </colItem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A804B7-0C0B-7D4C-9CF9-7EC6068ECCE0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26" firstHeaderRow="1" firstDataRow="1" firstDataCol="1"/>
  <pivotFields count="26">
    <pivotField showAll="0"/>
    <pivotField showAll="0"/>
    <pivotField numFmtId="14" showAll="0"/>
    <pivotField axis="axisRow" showAll="0">
      <items count="12">
        <item x="0"/>
        <item x="6"/>
        <item x="10"/>
        <item x="1"/>
        <item x="5"/>
        <item x="9"/>
        <item x="3"/>
        <item x="7"/>
        <item x="2"/>
        <item x="4"/>
        <item x="8"/>
        <item t="default"/>
      </items>
    </pivotField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3"/>
    <field x="5"/>
  </rowFields>
  <rowItems count="23">
    <i>
      <x/>
    </i>
    <i r="1">
      <x v="1"/>
    </i>
    <i>
      <x v="1"/>
    </i>
    <i r="1">
      <x v="3"/>
    </i>
    <i>
      <x v="2"/>
    </i>
    <i r="1">
      <x v="3"/>
    </i>
    <i>
      <x v="3"/>
    </i>
    <i r="1">
      <x v="3"/>
    </i>
    <i>
      <x v="4"/>
    </i>
    <i r="1">
      <x v="3"/>
    </i>
    <i>
      <x v="5"/>
    </i>
    <i r="1">
      <x v="2"/>
    </i>
    <i>
      <x v="6"/>
    </i>
    <i r="1">
      <x v="2"/>
    </i>
    <i>
      <x v="7"/>
    </i>
    <i r="1">
      <x/>
    </i>
    <i>
      <x v="8"/>
    </i>
    <i r="1">
      <x v="3"/>
    </i>
    <i>
      <x v="9"/>
    </i>
    <i r="1">
      <x v="3"/>
    </i>
    <i>
      <x v="10"/>
    </i>
    <i r="1">
      <x/>
    </i>
    <i t="grand">
      <x/>
    </i>
  </rowItems>
  <colItems count="1">
    <i/>
  </colItem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0E9A4D-479A-B04E-B3E8-BDBEE0DC158F}" name="Campaign Metric Table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5" firstHeaderRow="0" firstDataRow="1" firstDataCol="1" rowPageCount="1" colPageCount="1"/>
  <pivotFields count="22">
    <pivotField showAll="0"/>
    <pivotField showAll="0"/>
    <pivotField numFmtId="14" showAll="0"/>
    <pivotField showAll="0"/>
    <pivotField axis="axisRow" showAll="0">
      <items count="12">
        <item x="0"/>
        <item x="6"/>
        <item x="10"/>
        <item x="1"/>
        <item x="5"/>
        <item x="9"/>
        <item x="3"/>
        <item x="7"/>
        <item x="2"/>
        <item x="4"/>
        <item x="8"/>
        <item t="default"/>
      </items>
    </pivotField>
    <pivotField axis="axisPage" showAll="0">
      <items count="5">
        <item x="3"/>
        <item x="0"/>
        <item x="2"/>
        <item x="1"/>
        <item t="default"/>
      </items>
    </pivotField>
    <pivotField showAll="0"/>
    <pivotField dataField="1" showAll="0"/>
    <pivotField dataField="1" showAll="0"/>
    <pivotField numFmtId="10" showAll="0"/>
    <pivotField dataField="1" showAll="0"/>
    <pivotField showAll="0"/>
    <pivotField dataField="1" showAll="0"/>
    <pivotField showAll="0"/>
    <pivotField dataField="1" showAll="0"/>
    <pivotField showAll="0"/>
    <pivotField dataField="1" numFmtId="164" showAll="0"/>
    <pivotField showAll="0"/>
    <pivotField showAll="0"/>
    <pivotField showAll="0"/>
    <pivotField showAll="0"/>
    <pivotField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5" hier="-1"/>
  </pageFields>
  <dataFields count="6">
    <dataField name="Sum of mark_spent" fld="8" baseField="0" baseItem="0"/>
    <dataField name="Sum of orders" fld="14" baseField="0" baseItem="0"/>
    <dataField name="Sum of revenue" fld="16" baseField="0" baseItem="0" numFmtId="164"/>
    <dataField name="Sum of impressions" fld="7" baseField="0" baseItem="0"/>
    <dataField name="Sum of clicks" fld="10" baseField="0" baseItem="0"/>
    <dataField name="Sum of leads" fld="12" baseField="0" baseItem="0"/>
  </dataFields>
  <formats count="1">
    <format dxfId="19">
      <pivotArea collapsedLevelsAreSubtotals="1" fieldPosition="0">
        <references count="2">
          <reference field="4294967294" count="1" selected="0">
            <x v="2"/>
          </reference>
          <reference field="4" count="1">
            <x v="0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F25400-6FEA-9248-81B6-625205B31083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8" firstHeaderRow="0" firstDataRow="1" firstDataCol="1"/>
  <pivotFields count="26">
    <pivotField showAll="0"/>
    <pivotField showAll="0"/>
    <pivotField numFmtId="14"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dataField="1" showAll="0"/>
    <pivotField numFmtId="10" showAll="0"/>
    <pivotField dataField="1" showAll="0"/>
    <pivotField showAll="0"/>
    <pivotField dataField="1" showAll="0"/>
    <pivotField showAll="0"/>
    <pivotField dataField="1" showAll="0"/>
    <pivotField showAll="0"/>
    <pivotField dataField="1" numFmtId="164"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mark_spent" fld="8" baseField="0" baseItem="0"/>
    <dataField name="Sum of orders" fld="14" baseField="0" baseItem="0"/>
    <dataField name="Sum of revenue" fld="16" baseField="0" baseItem="0" numFmtId="164"/>
    <dataField name="Sum of clicks" fld="10" baseField="0" baseItem="0"/>
    <dataField name="Sum of leads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34330D-D7D9-594F-AAA8-03A746A73B60}" name="Daily_analysis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32" firstHeaderRow="0" firstDataRow="1" firstDataCol="1"/>
  <pivotFields count="26">
    <pivotField showAll="0"/>
    <pivotField showAll="0"/>
    <pivotField axis="axisRow" numFmtId="14" showAll="0" sortType="ascending">
      <items count="29">
        <item x="1"/>
        <item x="2"/>
        <item x="3"/>
        <item x="10"/>
        <item x="16"/>
        <item x="4"/>
        <item x="12"/>
        <item x="23"/>
        <item x="13"/>
        <item x="19"/>
        <item x="25"/>
        <item x="21"/>
        <item x="15"/>
        <item x="26"/>
        <item x="27"/>
        <item x="11"/>
        <item x="18"/>
        <item x="5"/>
        <item x="22"/>
        <item x="24"/>
        <item x="6"/>
        <item x="0"/>
        <item x="17"/>
        <item x="20"/>
        <item x="9"/>
        <item x="7"/>
        <item x="14"/>
        <item x="8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numFmtId="10" showAll="0"/>
    <pivotField showAll="0"/>
    <pivotField showAll="0"/>
    <pivotField showAll="0"/>
    <pivotField showAll="0"/>
    <pivotField dataField="1" showAll="0"/>
    <pivotField showAll="0"/>
    <pivotField dataField="1" numFmtId="164" showAll="0"/>
    <pivotField showAll="0"/>
    <pivotField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mark_spent" fld="8" baseField="0" baseItem="0"/>
    <dataField name="Sum of orders" fld="14" baseField="0" baseItem="0"/>
    <dataField name="Sum of revenue" fld="16" baseField="0" baseItem="0" numFmtId="164"/>
    <dataField name="Daily ROAS" fld="21" baseField="0" baseItem="0" numFmtId="2"/>
    <dataField name="Spending minus revenue" fld="22" baseField="0" baseItem="0" numFmtId="164"/>
    <dataField name="Cost per order" fld="23" baseField="0" baseItem="0" numFmtId="2"/>
    <dataField name="AOV" fld="24" baseField="0" baseItem="0" numFmtId="2"/>
  </dataFields>
  <formats count="8">
    <format dxfId="18">
      <pivotArea collapsedLevelsAreSubtotals="1" fieldPosition="0">
        <references count="2">
          <reference field="4294967294" count="1" selected="0">
            <x v="3"/>
          </reference>
          <reference field="2" count="1">
            <x v="26"/>
          </reference>
        </references>
      </pivotArea>
    </format>
    <format dxfId="17">
      <pivotArea collapsedLevelsAreSubtotals="1" fieldPosition="0">
        <references count="2">
          <reference field="4294967294" count="1" selected="0">
            <x v="3"/>
          </reference>
          <reference field="2" count="1">
            <x v="27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3"/>
          </reference>
          <reference field="2" count="1">
            <x v="24"/>
          </reference>
        </references>
      </pivotArea>
    </format>
    <format dxfId="15">
      <pivotArea collapsedLevelsAreSubtotals="1" fieldPosition="0">
        <references count="2">
          <reference field="4294967294" count="1" selected="0">
            <x v="3"/>
          </reference>
          <reference field="2" count="1">
            <x v="22"/>
          </reference>
        </references>
      </pivotArea>
    </format>
    <format dxfId="14">
      <pivotArea outline="0" fieldPosition="0">
        <references count="1">
          <reference field="4294967294" count="1">
            <x v="3"/>
          </reference>
        </references>
      </pivotArea>
    </format>
    <format dxfId="13">
      <pivotArea outline="0" fieldPosition="0">
        <references count="1">
          <reference field="4294967294" count="1">
            <x v="4"/>
          </reference>
        </references>
      </pivotArea>
    </format>
    <format dxfId="12">
      <pivotArea outline="0" fieldPosition="0">
        <references count="1">
          <reference field="4294967294" count="1">
            <x v="5"/>
          </reference>
        </references>
      </pivotArea>
    </format>
    <format dxfId="11">
      <pivotArea outline="0" fieldPosition="0">
        <references count="1">
          <reference field="4294967294" count="1">
            <x v="6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FDB94-14E2-8449-AB55-CF97F89A66DD}" name="Daily ROAS Driver Comparison — February 10 vs February 2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N14" firstHeaderRow="0" firstDataRow="1" firstDataCol="1"/>
  <pivotFields count="26">
    <pivotField showAll="0"/>
    <pivotField showAll="0"/>
    <pivotField axis="axisRow" numFmtId="14" showAll="0">
      <items count="29">
        <item h="1" x="1"/>
        <item h="1" x="2"/>
        <item h="1" x="3"/>
        <item h="1" x="10"/>
        <item h="1" x="16"/>
        <item h="1" x="4"/>
        <item h="1" x="12"/>
        <item h="1" x="23"/>
        <item h="1" x="13"/>
        <item x="19"/>
        <item h="1" x="25"/>
        <item h="1" x="21"/>
        <item h="1" x="15"/>
        <item h="1" x="26"/>
        <item h="1" x="27"/>
        <item h="1" x="11"/>
        <item h="1" x="18"/>
        <item h="1" x="5"/>
        <item h="1" x="22"/>
        <item h="1" x="24"/>
        <item h="1" x="6"/>
        <item h="1" x="0"/>
        <item h="1" x="17"/>
        <item h="1" x="20"/>
        <item h="1" x="9"/>
        <item x="7"/>
        <item h="1" x="14"/>
        <item h="1" x="8"/>
        <item t="default"/>
      </items>
    </pivotField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dataField="1" showAll="0"/>
    <pivotField numFmtId="10" showAll="0"/>
    <pivotField showAll="0"/>
    <pivotField showAll="0"/>
    <pivotField showAll="0"/>
    <pivotField showAll="0"/>
    <pivotField dataField="1" showAll="0"/>
    <pivotField showAll="0"/>
    <pivotField dataField="1" numFmtId="164"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2">
    <field x="2"/>
    <field x="5"/>
  </rowFields>
  <rowItems count="11">
    <i>
      <x v="9"/>
    </i>
    <i r="1">
      <x/>
    </i>
    <i r="1">
      <x v="1"/>
    </i>
    <i r="1">
      <x v="2"/>
    </i>
    <i r="1">
      <x v="3"/>
    </i>
    <i>
      <x v="25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mark_spent" fld="8" baseField="0" baseItem="0"/>
    <dataField name="Sum of orders" fld="14" baseField="0" baseItem="0"/>
    <dataField name="Sum of revenue" fld="16" baseField="0" baseItem="0" numFmtId="164"/>
    <dataField name="Category-date ROAS" fld="25" baseField="0" baseItem="0" numFmtId="2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1B0B7D-ABA4-3445-9A88-114D23C741A2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33" firstHeaderRow="0" firstDataRow="1" firstDataCol="1"/>
  <pivotFields count="22">
    <pivotField showAll="0"/>
    <pivotField showAll="0"/>
    <pivotField axis="axisRow" numFmtId="14" showAll="0">
      <items count="29">
        <item x="1"/>
        <item x="2"/>
        <item x="3"/>
        <item x="10"/>
        <item x="16"/>
        <item x="4"/>
        <item x="12"/>
        <item x="23"/>
        <item x="13"/>
        <item x="19"/>
        <item x="25"/>
        <item x="21"/>
        <item x="15"/>
        <item x="26"/>
        <item x="27"/>
        <item x="11"/>
        <item x="18"/>
        <item x="5"/>
        <item x="22"/>
        <item x="24"/>
        <item x="6"/>
        <item x="0"/>
        <item x="17"/>
        <item x="20"/>
        <item x="9"/>
        <item x="7"/>
        <item x="14"/>
        <item x="8"/>
        <item t="default"/>
      </items>
    </pivotField>
    <pivotField showAll="0"/>
    <pivotField axis="axisRow" showAll="0">
      <items count="12">
        <item h="1" x="0"/>
        <item h="1" x="6"/>
        <item h="1" x="10"/>
        <item h="1" x="1"/>
        <item x="5"/>
        <item h="1" x="9"/>
        <item h="1" x="3"/>
        <item h="1" x="7"/>
        <item h="1" x="2"/>
        <item h="1" x="4"/>
        <item h="1" x="8"/>
        <item t="default"/>
      </items>
    </pivotField>
    <pivotField showAll="0"/>
    <pivotField showAll="0"/>
    <pivotField showAll="0"/>
    <pivotField dataField="1" showAll="0"/>
    <pivotField numFmtId="10" showAll="0"/>
    <pivotField dataField="1" showAll="0"/>
    <pivotField showAll="0"/>
    <pivotField dataField="1" showAll="0"/>
    <pivotField showAll="0"/>
    <pivotField dataField="1" showAll="0"/>
    <pivotField showAll="0"/>
    <pivotField dataField="1" numFmtId="164" showAll="0"/>
    <pivotField showAll="0"/>
    <pivotField showAll="0"/>
    <pivotField showAll="0"/>
    <pivotField showAll="0"/>
    <pivotField showAll="0"/>
  </pivotFields>
  <rowFields count="2">
    <field x="4"/>
    <field x="2"/>
  </rowFields>
  <rowItems count="30"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mark_spent" fld="8" baseField="0" baseItem="0"/>
    <dataField name="Sum of revenue" fld="16" baseField="0" baseItem="0" numFmtId="164"/>
    <dataField name="Sum of orders" fld="14" baseField="0" baseItem="0"/>
    <dataField name="Sum of clicks" fld="10" baseField="0" baseItem="0"/>
    <dataField name="Sum of leads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C2082-6D9B-8541-BABE-DAFFD4B98E20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3" firstHeaderRow="0" firstDataRow="1" firstDataCol="1"/>
  <pivotFields count="26"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numFmtId="14" showAll="0">
      <items count="29">
        <item x="1"/>
        <item x="2"/>
        <item x="3"/>
        <item x="10"/>
        <item x="16"/>
        <item x="4"/>
        <item x="12"/>
        <item x="23"/>
        <item x="13"/>
        <item x="19"/>
        <item x="25"/>
        <item x="21"/>
        <item x="15"/>
        <item x="26"/>
        <item x="27"/>
        <item x="11"/>
        <item x="18"/>
        <item x="5"/>
        <item x="22"/>
        <item x="24"/>
        <item x="6"/>
        <item x="0"/>
        <item x="17"/>
        <item x="20"/>
        <item x="9"/>
        <item x="7"/>
        <item x="14"/>
        <item x="8"/>
        <item t="default"/>
      </items>
    </pivotField>
    <pivotField showAll="0"/>
    <pivotField axis="axisRow" showAll="0">
      <items count="12">
        <item h="1" x="0"/>
        <item h="1" x="6"/>
        <item h="1" x="10"/>
        <item h="1" x="1"/>
        <item h="1" x="5"/>
        <item h="1" x="9"/>
        <item h="1" x="3"/>
        <item h="1" x="7"/>
        <item h="1" x="2"/>
        <item h="1" x="4"/>
        <item x="8"/>
        <item t="default"/>
      </items>
    </pivotField>
    <pivotField showAll="0"/>
    <pivotField showAll="0"/>
    <pivotField showAll="0"/>
    <pivotField dataField="1" showAll="0"/>
    <pivotField numFmtId="10"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4"/>
    <field x="2"/>
  </rowFields>
  <rowItems count="30"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ark_spent" fld="8" baseField="0" baseItem="0"/>
    <dataField name="Sum of revenue" fld="16" baseField="0" baseItem="0" numFmtId="164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BB904D-DF84-4742-8C82-AE666F33B7BC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3" firstHeaderRow="0" firstDataRow="1" firstDataCol="1"/>
  <pivotFields count="26">
    <pivotField showAll="0"/>
    <pivotField showAll="0"/>
    <pivotField axis="axisRow" numFmtId="14" showAll="0" sortType="descending">
      <items count="29">
        <item x="1"/>
        <item x="2"/>
        <item x="3"/>
        <item x="10"/>
        <item x="16"/>
        <item x="4"/>
        <item x="12"/>
        <item x="23"/>
        <item x="13"/>
        <item x="19"/>
        <item x="25"/>
        <item x="21"/>
        <item x="15"/>
        <item x="26"/>
        <item x="27"/>
        <item x="11"/>
        <item x="18"/>
        <item x="5"/>
        <item x="22"/>
        <item x="24"/>
        <item x="6"/>
        <item x="0"/>
        <item x="17"/>
        <item x="20"/>
        <item x="9"/>
        <item x="7"/>
        <item x="14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ascending">
      <items count="12">
        <item h="1" x="0"/>
        <item h="1" x="6"/>
        <item h="1" x="10"/>
        <item h="1" x="1"/>
        <item h="1" x="5"/>
        <item h="1" x="9"/>
        <item h="1" x="3"/>
        <item h="1" x="7"/>
        <item h="1" x="2"/>
        <item x="4"/>
        <item h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0" showAll="0"/>
    <pivotField showAll="0"/>
    <pivotField showAll="0"/>
    <pivotField dataField="1" showAll="0"/>
    <pivotField showAll="0"/>
    <pivotField dataField="1" showAll="0"/>
    <pivotField showAll="0"/>
    <pivotField numFmtId="164"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4"/>
    <field x="2"/>
  </rowFields>
  <rowItems count="30">
    <i>
      <x v="9"/>
    </i>
    <i r="1">
      <x v="19"/>
    </i>
    <i r="1">
      <x v="17"/>
    </i>
    <i r="1">
      <x v="16"/>
    </i>
    <i r="1">
      <x v="13"/>
    </i>
    <i r="1">
      <x v="14"/>
    </i>
    <i r="1">
      <x v="15"/>
    </i>
    <i r="1">
      <x v="4"/>
    </i>
    <i r="1">
      <x v="2"/>
    </i>
    <i r="1">
      <x v="12"/>
    </i>
    <i r="1">
      <x v="3"/>
    </i>
    <i r="1">
      <x v="11"/>
    </i>
    <i r="1">
      <x v="9"/>
    </i>
    <i r="1">
      <x v="6"/>
    </i>
    <i r="1">
      <x v="18"/>
    </i>
    <i r="1">
      <x v="21"/>
    </i>
    <i r="1">
      <x v="23"/>
    </i>
    <i r="1">
      <x v="10"/>
    </i>
    <i r="1">
      <x v="20"/>
    </i>
    <i r="1">
      <x v="8"/>
    </i>
    <i r="1">
      <x v="7"/>
    </i>
    <i r="1">
      <x v="5"/>
    </i>
    <i r="1">
      <x/>
    </i>
    <i r="1">
      <x v="25"/>
    </i>
    <i r="1">
      <x v="22"/>
    </i>
    <i r="1">
      <x v="24"/>
    </i>
    <i r="1">
      <x v="1"/>
    </i>
    <i r="1">
      <x v="27"/>
    </i>
    <i r="1">
      <x v="2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leads" fld="12" baseField="0" baseItem="0"/>
    <dataField name="Sum of orders" fld="14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958DB7-B1C8-9049-8661-0C350874AE16}" name="Table1" displayName="Table1" ref="AA6:AB17" totalsRowShown="0" headerRowDxfId="6">
  <autoFilter ref="AA6:AB17" xr:uid="{1C958DB7-B1C8-9049-8661-0C350874AE16}"/>
  <tableColumns count="2">
    <tableColumn id="1" xr3:uid="{759474EA-0BD5-0545-AFAC-0AAB6974DDD9}" name="Campaign "/>
    <tableColumn id="2" xr3:uid="{98865666-0972-5A4C-B01B-20B742161582}" name="ROAS" dataDxfId="7">
      <calculatedColumnFormula>_xlfn.XLOOKUP(AA7,'Campaign-summary'!$A$4:$A$14,'Campaign-summary'!$N$4:$N$14, "Not found")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167293-2786-D34A-BFDF-2775975DB0AC}" name="Table4" displayName="Table4" ref="AA22:AC50" totalsRowShown="0" headerRowDxfId="2">
  <autoFilter ref="AA22:AC50" xr:uid="{5C167293-2786-D34A-BFDF-2775975DB0AC}"/>
  <tableColumns count="3">
    <tableColumn id="1" xr3:uid="{D976A8A3-AC9F-9A4C-8C53-327F13875865}" name="Date" dataDxfId="5"/>
    <tableColumn id="2" xr3:uid="{8A34E730-4B00-6F42-A029-F5CF0AD979DC}" name="Daily ROAS" dataDxfId="4">
      <calculatedColumnFormula>_xlfn.XLOOKUP(AA23,Daily_analysis!$A$4:$A$31,Daily_analysis!$E$4:$E$31,"Not found")</calculatedColumnFormula>
    </tableColumn>
    <tableColumn id="3" xr3:uid="{38A4AE45-996A-2148-8557-DEDDDD89E550}" name="Monthly ROAS" dataDxfId="3">
      <calculatedColumnFormula>'Campaign-summary'!$N$15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0EEF18-6293-7142-82BC-AE406BB045C3}" name="Table5" displayName="Table5" ref="AA54:AB58" totalsRowShown="0" headerRowDxfId="1">
  <autoFilter ref="AA54:AB58" xr:uid="{5B0EEF18-6293-7142-82BC-AE406BB045C3}"/>
  <tableColumns count="2">
    <tableColumn id="1" xr3:uid="{A2917718-2A3D-1A42-BCCF-9FABCE792599}" name="Category"/>
    <tableColumn id="2" xr3:uid="{0A43D8D9-0F7C-CE40-8ABC-6F1175C371F9}" name="February spending">
      <calculatedColumnFormula>_xlfn.XLOOKUP(AA55,Category_analysis!$A$4:$A$7,Category_analysis!$B$4:$B$7,"Not found")</calculatedColumnFormula>
    </tableColumn>
  </tableColumns>
  <tableStyleInfo name="TableStyleLight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551E63-72BF-AE43-81FC-CB649BE7CFF8}" name="youtube_blogger" displayName="youtube_blogger" ref="A1:B9" totalsRowShown="0">
  <autoFilter ref="A1:B9" xr:uid="{47551E63-72BF-AE43-81FC-CB649BE7CFF8}"/>
  <tableColumns count="2">
    <tableColumn id="1" xr3:uid="{EA34B07C-8144-0649-A916-88DBE56BD0E7}" name="youtube_blogger" dataDxfId="35"/>
    <tableColumn id="2" xr3:uid="{E87A43FB-E4E3-5049-89DA-FC0A854CFDF5}" name="Column1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86B86E-6A40-6C44-B3C3-4EEBDCDEDE53}" name="Campaign" displayName="Campaign" ref="A12:E23" totalsRowShown="0" headerRowDxfId="34">
  <autoFilter ref="A12:E23" xr:uid="{5786B86E-6A40-6C44-B3C3-4EEBDCDEDE53}"/>
  <tableColumns count="5">
    <tableColumn id="1" xr3:uid="{62BC6320-9959-CF48-9388-05ABBC63E962}" name="Campaign" dataDxfId="33"/>
    <tableColumn id="2" xr3:uid="{D025FD91-794E-2C4D-B272-9E9DFF28546A}" name="Historical ROAS" dataDxfId="32">
      <calculatedColumnFormula>_xlfn.XLOOKUP(A13,'Campaign-summary'!$A$4:$A$14, 'Campaign-summary'!$N$4:$N$14, "Not found")</calculatedColumnFormula>
    </tableColumn>
    <tableColumn id="3" xr3:uid="{6BACD4DA-675C-AF45-AB7C-970236B77187}" name="Minimum required margin" dataDxfId="31" dataCellStyle="Percent">
      <calculatedColumnFormula>1/B13</calculatedColumnFormula>
    </tableColumn>
    <tableColumn id="4" xr3:uid="{B4812C43-05CA-3640-8C65-0D412D1312AF}" name="Note"/>
    <tableColumn id="5" xr3:uid="{492BD71E-5EEB-6A43-83C8-51E7FC685539}" name="Meet  threshold?" dataDxfId="30">
      <calculatedColumnFormula>B13&gt;=$B$4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6E04CFE-839B-FF44-9DE6-593C59B81B8D}" name="Budget_recommendation_table" displayName="Budget_recommendation_table" ref="A26:D37" totalsRowShown="0" headerRowDxfId="29" dataDxfId="28">
  <autoFilter ref="A26:D37" xr:uid="{A6E04CFE-839B-FF44-9DE6-593C59B81B8D}"/>
  <tableColumns count="4">
    <tableColumn id="1" xr3:uid="{7C9BBD93-177F-3D4A-BB46-D0DAC373F276}" name="Campaign" dataDxfId="27"/>
    <tableColumn id="2" xr3:uid="{E7300D96-C3E0-8644-9ED9-854E24D99701}" name="Proposed action" dataDxfId="26"/>
    <tableColumn id="3" xr3:uid="{FF427747-A58C-8E44-9764-E8476D5EA249}" name="Supporting evidence" dataDxfId="25"/>
    <tableColumn id="4" xr3:uid="{EEA8E587-469B-0C48-92A6-19D7355B52B4}" name="What to verify" dataDxfId="24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0137E23-1B71-1A41-BB97-3525C6CE95C2}" name="Table10" displayName="Table10" ref="A57:B62" totalsRowShown="0" headerRowDxfId="23" dataDxfId="22">
  <autoFilter ref="A57:B62" xr:uid="{50137E23-1B71-1A41-BB97-3525C6CE95C2}"/>
  <tableColumns count="2">
    <tableColumn id="1" xr3:uid="{35551171-F7E9-E144-9C2C-B4F749F544EE}" name="Label" dataDxfId="21"/>
    <tableColumn id="2" xr3:uid="{F5E14C45-5BA7-8842-91B7-8E5316CD9765}" name="Calculation" dataDxfId="20"/>
  </tableColumns>
  <tableStyleInfo name="TableStyleLight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D815570-87F3-FF4F-B144-4A620ECAA388}" name="Table7" displayName="Table7" ref="J17:K19" totalsRowShown="0" headerRowDxfId="10">
  <autoFilter ref="J17:K19" xr:uid="{0D815570-87F3-FF4F-B144-4A620ECAA388}"/>
  <tableColumns count="2">
    <tableColumn id="1" xr3:uid="{B2DFB481-2FEE-7D4B-96D8-3F0EBE3FDB30}" name="Date" dataDxfId="9"/>
    <tableColumn id="2" xr3:uid="{3F67496D-FDC4-6A4C-B595-DEAED86360B4}" name="Influencer spending share" dataDxfId="8" dataCellStyle="Percent">
      <calculatedColumnFormula>K9/K8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8509E-A851-404A-B33B-B9B63B7C0C22}">
  <dimension ref="A3:M33"/>
  <sheetViews>
    <sheetView workbookViewId="0">
      <selection activeCell="A3" sqref="A3"/>
      <pivotSelection pane="bottomRight" showHeader="1" activeRow="2" click="2" r:id="rId1">
        <pivotArea type="origin" dataOnly="0" labelOnly="1" outline="0" fieldPosition="0"/>
      </pivotSelection>
    </sheetView>
  </sheetViews>
  <sheetFormatPr baseColWidth="10" defaultRowHeight="13" x14ac:dyDescent="0.15"/>
  <cols>
    <col min="1" max="1" width="12.5" bestFit="1" customWidth="1"/>
    <col min="2" max="2" width="10" bestFit="1" customWidth="1"/>
    <col min="3" max="3" width="10.33203125" bestFit="1" customWidth="1"/>
    <col min="4" max="4" width="10.6640625" bestFit="1" customWidth="1"/>
    <col min="5" max="5" width="10.5" bestFit="1" customWidth="1"/>
    <col min="6" max="6" width="10.6640625" bestFit="1" customWidth="1"/>
    <col min="7" max="7" width="9.6640625" bestFit="1" customWidth="1"/>
    <col min="8" max="9" width="10.6640625" bestFit="1" customWidth="1"/>
    <col min="10" max="11" width="10.1640625" bestFit="1" customWidth="1"/>
    <col min="12" max="12" width="10.5" bestFit="1" customWidth="1"/>
    <col min="13" max="13" width="10" bestFit="1" customWidth="1"/>
  </cols>
  <sheetData>
    <row r="3" spans="1:13" ht="28" x14ac:dyDescent="0.15">
      <c r="A3" s="21" t="s">
        <v>58</v>
      </c>
      <c r="B3" s="21" t="s">
        <v>57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6"/>
    </row>
    <row r="4" spans="1:13" ht="28" x14ac:dyDescent="0.15">
      <c r="A4" s="21" t="s">
        <v>55</v>
      </c>
      <c r="B4" s="14" t="s">
        <v>26</v>
      </c>
      <c r="C4" s="22" t="s">
        <v>24</v>
      </c>
      <c r="D4" s="22" t="s">
        <v>23</v>
      </c>
      <c r="E4" s="22" t="s">
        <v>13</v>
      </c>
      <c r="F4" s="22" t="s">
        <v>15</v>
      </c>
      <c r="G4" s="22" t="s">
        <v>16</v>
      </c>
      <c r="H4" s="22" t="s">
        <v>18</v>
      </c>
      <c r="I4" s="22" t="s">
        <v>25</v>
      </c>
      <c r="J4" s="22" t="s">
        <v>21</v>
      </c>
      <c r="K4" s="22" t="s">
        <v>22</v>
      </c>
      <c r="L4" s="22" t="s">
        <v>19</v>
      </c>
      <c r="M4" s="23" t="s">
        <v>56</v>
      </c>
    </row>
    <row r="5" spans="1:13" ht="14" x14ac:dyDescent="0.15">
      <c r="A5" s="24" t="s">
        <v>12</v>
      </c>
      <c r="B5" s="27">
        <v>1</v>
      </c>
      <c r="C5" s="28">
        <v>1</v>
      </c>
      <c r="D5" s="28">
        <v>1</v>
      </c>
      <c r="E5" s="28">
        <v>1</v>
      </c>
      <c r="F5" s="28">
        <v>1</v>
      </c>
      <c r="G5" s="28">
        <v>1</v>
      </c>
      <c r="H5" s="28">
        <v>1</v>
      </c>
      <c r="I5" s="28">
        <v>1</v>
      </c>
      <c r="J5" s="28">
        <v>1</v>
      </c>
      <c r="K5" s="28">
        <v>1</v>
      </c>
      <c r="L5" s="28">
        <v>1</v>
      </c>
      <c r="M5" s="29">
        <v>11</v>
      </c>
    </row>
    <row r="6" spans="1:13" ht="14" x14ac:dyDescent="0.15">
      <c r="A6" s="25" t="s">
        <v>28</v>
      </c>
      <c r="B6" s="30">
        <v>1</v>
      </c>
      <c r="C6" s="31">
        <v>1</v>
      </c>
      <c r="D6" s="31">
        <v>1</v>
      </c>
      <c r="E6" s="31">
        <v>1</v>
      </c>
      <c r="F6" s="31">
        <v>1</v>
      </c>
      <c r="G6" s="31">
        <v>1</v>
      </c>
      <c r="H6" s="31">
        <v>1</v>
      </c>
      <c r="I6" s="31">
        <v>1</v>
      </c>
      <c r="J6" s="31">
        <v>1</v>
      </c>
      <c r="K6" s="31">
        <v>1</v>
      </c>
      <c r="L6" s="31">
        <v>1</v>
      </c>
      <c r="M6" s="32">
        <v>11</v>
      </c>
    </row>
    <row r="7" spans="1:13" ht="14" x14ac:dyDescent="0.15">
      <c r="A7" s="25" t="s">
        <v>29</v>
      </c>
      <c r="B7" s="30">
        <v>1</v>
      </c>
      <c r="C7" s="31">
        <v>1</v>
      </c>
      <c r="D7" s="31">
        <v>1</v>
      </c>
      <c r="E7" s="31">
        <v>1</v>
      </c>
      <c r="F7" s="31">
        <v>1</v>
      </c>
      <c r="G7" s="31">
        <v>1</v>
      </c>
      <c r="H7" s="31">
        <v>1</v>
      </c>
      <c r="I7" s="31">
        <v>1</v>
      </c>
      <c r="J7" s="31">
        <v>1</v>
      </c>
      <c r="K7" s="31">
        <v>1</v>
      </c>
      <c r="L7" s="31">
        <v>1</v>
      </c>
      <c r="M7" s="32">
        <v>11</v>
      </c>
    </row>
    <row r="8" spans="1:13" ht="14" x14ac:dyDescent="0.15">
      <c r="A8" s="25" t="s">
        <v>30</v>
      </c>
      <c r="B8" s="30">
        <v>1</v>
      </c>
      <c r="C8" s="31">
        <v>1</v>
      </c>
      <c r="D8" s="31">
        <v>1</v>
      </c>
      <c r="E8" s="31">
        <v>1</v>
      </c>
      <c r="F8" s="31">
        <v>1</v>
      </c>
      <c r="G8" s="31">
        <v>1</v>
      </c>
      <c r="H8" s="31">
        <v>1</v>
      </c>
      <c r="I8" s="31">
        <v>1</v>
      </c>
      <c r="J8" s="31">
        <v>1</v>
      </c>
      <c r="K8" s="31">
        <v>1</v>
      </c>
      <c r="L8" s="31">
        <v>1</v>
      </c>
      <c r="M8" s="32">
        <v>11</v>
      </c>
    </row>
    <row r="9" spans="1:13" ht="14" x14ac:dyDescent="0.15">
      <c r="A9" s="25" t="s">
        <v>31</v>
      </c>
      <c r="B9" s="30">
        <v>1</v>
      </c>
      <c r="C9" s="31">
        <v>1</v>
      </c>
      <c r="D9" s="31">
        <v>1</v>
      </c>
      <c r="E9" s="31">
        <v>1</v>
      </c>
      <c r="F9" s="31">
        <v>1</v>
      </c>
      <c r="G9" s="31">
        <v>1</v>
      </c>
      <c r="H9" s="31">
        <v>1</v>
      </c>
      <c r="I9" s="31">
        <v>1</v>
      </c>
      <c r="J9" s="31">
        <v>1</v>
      </c>
      <c r="K9" s="31">
        <v>1</v>
      </c>
      <c r="L9" s="31">
        <v>1</v>
      </c>
      <c r="M9" s="32">
        <v>11</v>
      </c>
    </row>
    <row r="10" spans="1:13" ht="14" x14ac:dyDescent="0.15">
      <c r="A10" s="25" t="s">
        <v>32</v>
      </c>
      <c r="B10" s="30">
        <v>1</v>
      </c>
      <c r="C10" s="31">
        <v>1</v>
      </c>
      <c r="D10" s="31">
        <v>1</v>
      </c>
      <c r="E10" s="31">
        <v>1</v>
      </c>
      <c r="F10" s="31">
        <v>1</v>
      </c>
      <c r="G10" s="31">
        <v>1</v>
      </c>
      <c r="H10" s="31">
        <v>1</v>
      </c>
      <c r="I10" s="31">
        <v>1</v>
      </c>
      <c r="J10" s="31">
        <v>1</v>
      </c>
      <c r="K10" s="31">
        <v>1</v>
      </c>
      <c r="L10" s="31">
        <v>1</v>
      </c>
      <c r="M10" s="32">
        <v>11</v>
      </c>
    </row>
    <row r="11" spans="1:13" ht="14" x14ac:dyDescent="0.15">
      <c r="A11" s="25" t="s">
        <v>33</v>
      </c>
      <c r="B11" s="30">
        <v>1</v>
      </c>
      <c r="C11" s="31">
        <v>1</v>
      </c>
      <c r="D11" s="31">
        <v>1</v>
      </c>
      <c r="E11" s="31">
        <v>1</v>
      </c>
      <c r="F11" s="31">
        <v>1</v>
      </c>
      <c r="G11" s="31">
        <v>1</v>
      </c>
      <c r="H11" s="31">
        <v>1</v>
      </c>
      <c r="I11" s="31">
        <v>1</v>
      </c>
      <c r="J11" s="31">
        <v>1</v>
      </c>
      <c r="K11" s="31">
        <v>1</v>
      </c>
      <c r="L11" s="31">
        <v>1</v>
      </c>
      <c r="M11" s="32">
        <v>11</v>
      </c>
    </row>
    <row r="12" spans="1:13" ht="14" x14ac:dyDescent="0.15">
      <c r="A12" s="25" t="s">
        <v>34</v>
      </c>
      <c r="B12" s="30">
        <v>1</v>
      </c>
      <c r="C12" s="31">
        <v>1</v>
      </c>
      <c r="D12" s="31">
        <v>1</v>
      </c>
      <c r="E12" s="31">
        <v>1</v>
      </c>
      <c r="F12" s="31">
        <v>1</v>
      </c>
      <c r="G12" s="31">
        <v>1</v>
      </c>
      <c r="H12" s="31">
        <v>1</v>
      </c>
      <c r="I12" s="31">
        <v>1</v>
      </c>
      <c r="J12" s="31">
        <v>1</v>
      </c>
      <c r="K12" s="31">
        <v>1</v>
      </c>
      <c r="L12" s="31">
        <v>1</v>
      </c>
      <c r="M12" s="32">
        <v>11</v>
      </c>
    </row>
    <row r="13" spans="1:13" ht="14" x14ac:dyDescent="0.15">
      <c r="A13" s="25" t="s">
        <v>35</v>
      </c>
      <c r="B13" s="30">
        <v>1</v>
      </c>
      <c r="C13" s="31">
        <v>1</v>
      </c>
      <c r="D13" s="31">
        <v>1</v>
      </c>
      <c r="E13" s="31">
        <v>1</v>
      </c>
      <c r="F13" s="31">
        <v>1</v>
      </c>
      <c r="G13" s="31">
        <v>1</v>
      </c>
      <c r="H13" s="31">
        <v>1</v>
      </c>
      <c r="I13" s="31">
        <v>1</v>
      </c>
      <c r="J13" s="31">
        <v>1</v>
      </c>
      <c r="K13" s="31">
        <v>1</v>
      </c>
      <c r="L13" s="31">
        <v>1</v>
      </c>
      <c r="M13" s="32">
        <v>11</v>
      </c>
    </row>
    <row r="14" spans="1:13" ht="14" x14ac:dyDescent="0.15">
      <c r="A14" s="25" t="s">
        <v>36</v>
      </c>
      <c r="B14" s="30">
        <v>1</v>
      </c>
      <c r="C14" s="31">
        <v>1</v>
      </c>
      <c r="D14" s="31">
        <v>1</v>
      </c>
      <c r="E14" s="31">
        <v>1</v>
      </c>
      <c r="F14" s="31">
        <v>1</v>
      </c>
      <c r="G14" s="31">
        <v>1</v>
      </c>
      <c r="H14" s="31">
        <v>1</v>
      </c>
      <c r="I14" s="31">
        <v>1</v>
      </c>
      <c r="J14" s="31">
        <v>1</v>
      </c>
      <c r="K14" s="31">
        <v>1</v>
      </c>
      <c r="L14" s="31">
        <v>1</v>
      </c>
      <c r="M14" s="32">
        <v>11</v>
      </c>
    </row>
    <row r="15" spans="1:13" ht="14" x14ac:dyDescent="0.15">
      <c r="A15" s="25" t="s">
        <v>37</v>
      </c>
      <c r="B15" s="30">
        <v>1</v>
      </c>
      <c r="C15" s="31">
        <v>1</v>
      </c>
      <c r="D15" s="31">
        <v>1</v>
      </c>
      <c r="E15" s="31">
        <v>1</v>
      </c>
      <c r="F15" s="31">
        <v>1</v>
      </c>
      <c r="G15" s="31">
        <v>1</v>
      </c>
      <c r="H15" s="31">
        <v>1</v>
      </c>
      <c r="I15" s="31">
        <v>1</v>
      </c>
      <c r="J15" s="31">
        <v>1</v>
      </c>
      <c r="K15" s="31">
        <v>1</v>
      </c>
      <c r="L15" s="31">
        <v>1</v>
      </c>
      <c r="M15" s="32">
        <v>11</v>
      </c>
    </row>
    <row r="16" spans="1:13" ht="14" x14ac:dyDescent="0.15">
      <c r="A16" s="25" t="s">
        <v>38</v>
      </c>
      <c r="B16" s="30">
        <v>1</v>
      </c>
      <c r="C16" s="31">
        <v>1</v>
      </c>
      <c r="D16" s="31">
        <v>1</v>
      </c>
      <c r="E16" s="31">
        <v>1</v>
      </c>
      <c r="F16" s="31">
        <v>1</v>
      </c>
      <c r="G16" s="31">
        <v>1</v>
      </c>
      <c r="H16" s="31">
        <v>1</v>
      </c>
      <c r="I16" s="31">
        <v>1</v>
      </c>
      <c r="J16" s="31">
        <v>1</v>
      </c>
      <c r="K16" s="31">
        <v>1</v>
      </c>
      <c r="L16" s="31">
        <v>1</v>
      </c>
      <c r="M16" s="32">
        <v>11</v>
      </c>
    </row>
    <row r="17" spans="1:13" ht="14" x14ac:dyDescent="0.15">
      <c r="A17" s="25" t="s">
        <v>39</v>
      </c>
      <c r="B17" s="30">
        <v>1</v>
      </c>
      <c r="C17" s="31">
        <v>1</v>
      </c>
      <c r="D17" s="31">
        <v>1</v>
      </c>
      <c r="E17" s="31">
        <v>1</v>
      </c>
      <c r="F17" s="31">
        <v>1</v>
      </c>
      <c r="G17" s="31">
        <v>1</v>
      </c>
      <c r="H17" s="31">
        <v>1</v>
      </c>
      <c r="I17" s="31">
        <v>1</v>
      </c>
      <c r="J17" s="31">
        <v>1</v>
      </c>
      <c r="K17" s="31">
        <v>1</v>
      </c>
      <c r="L17" s="31">
        <v>1</v>
      </c>
      <c r="M17" s="32">
        <v>11</v>
      </c>
    </row>
    <row r="18" spans="1:13" ht="14" x14ac:dyDescent="0.15">
      <c r="A18" s="25" t="s">
        <v>40</v>
      </c>
      <c r="B18" s="30">
        <v>1</v>
      </c>
      <c r="C18" s="31">
        <v>1</v>
      </c>
      <c r="D18" s="31">
        <v>1</v>
      </c>
      <c r="E18" s="31">
        <v>1</v>
      </c>
      <c r="F18" s="31">
        <v>1</v>
      </c>
      <c r="G18" s="31">
        <v>1</v>
      </c>
      <c r="H18" s="31">
        <v>1</v>
      </c>
      <c r="I18" s="31">
        <v>1</v>
      </c>
      <c r="J18" s="31">
        <v>1</v>
      </c>
      <c r="K18" s="31">
        <v>1</v>
      </c>
      <c r="L18" s="31">
        <v>1</v>
      </c>
      <c r="M18" s="32">
        <v>11</v>
      </c>
    </row>
    <row r="19" spans="1:13" ht="14" x14ac:dyDescent="0.15">
      <c r="A19" s="25" t="s">
        <v>41</v>
      </c>
      <c r="B19" s="30">
        <v>1</v>
      </c>
      <c r="C19" s="31">
        <v>1</v>
      </c>
      <c r="D19" s="31">
        <v>1</v>
      </c>
      <c r="E19" s="31">
        <v>1</v>
      </c>
      <c r="F19" s="31">
        <v>1</v>
      </c>
      <c r="G19" s="31">
        <v>1</v>
      </c>
      <c r="H19" s="31">
        <v>1</v>
      </c>
      <c r="I19" s="31">
        <v>1</v>
      </c>
      <c r="J19" s="31">
        <v>1</v>
      </c>
      <c r="K19" s="31">
        <v>1</v>
      </c>
      <c r="L19" s="31">
        <v>1</v>
      </c>
      <c r="M19" s="32">
        <v>11</v>
      </c>
    </row>
    <row r="20" spans="1:13" ht="14" x14ac:dyDescent="0.15">
      <c r="A20" s="25" t="s">
        <v>42</v>
      </c>
      <c r="B20" s="30">
        <v>1</v>
      </c>
      <c r="C20" s="31">
        <v>1</v>
      </c>
      <c r="D20" s="31">
        <v>1</v>
      </c>
      <c r="E20" s="31">
        <v>1</v>
      </c>
      <c r="F20" s="31">
        <v>1</v>
      </c>
      <c r="G20" s="31">
        <v>1</v>
      </c>
      <c r="H20" s="31">
        <v>1</v>
      </c>
      <c r="I20" s="31">
        <v>1</v>
      </c>
      <c r="J20" s="31">
        <v>1</v>
      </c>
      <c r="K20" s="31">
        <v>1</v>
      </c>
      <c r="L20" s="31">
        <v>1</v>
      </c>
      <c r="M20" s="32">
        <v>11</v>
      </c>
    </row>
    <row r="21" spans="1:13" ht="14" x14ac:dyDescent="0.15">
      <c r="A21" s="25" t="s">
        <v>43</v>
      </c>
      <c r="B21" s="30">
        <v>1</v>
      </c>
      <c r="C21" s="31">
        <v>1</v>
      </c>
      <c r="D21" s="31">
        <v>1</v>
      </c>
      <c r="E21" s="31">
        <v>1</v>
      </c>
      <c r="F21" s="31">
        <v>1</v>
      </c>
      <c r="G21" s="31">
        <v>1</v>
      </c>
      <c r="H21" s="31">
        <v>1</v>
      </c>
      <c r="I21" s="31">
        <v>1</v>
      </c>
      <c r="J21" s="31">
        <v>1</v>
      </c>
      <c r="K21" s="31">
        <v>1</v>
      </c>
      <c r="L21" s="31">
        <v>1</v>
      </c>
      <c r="M21" s="32">
        <v>11</v>
      </c>
    </row>
    <row r="22" spans="1:13" ht="14" x14ac:dyDescent="0.15">
      <c r="A22" s="25" t="s">
        <v>44</v>
      </c>
      <c r="B22" s="30">
        <v>1</v>
      </c>
      <c r="C22" s="31">
        <v>1</v>
      </c>
      <c r="D22" s="31">
        <v>1</v>
      </c>
      <c r="E22" s="31">
        <v>1</v>
      </c>
      <c r="F22" s="31">
        <v>1</v>
      </c>
      <c r="G22" s="31">
        <v>1</v>
      </c>
      <c r="H22" s="31">
        <v>1</v>
      </c>
      <c r="I22" s="31">
        <v>1</v>
      </c>
      <c r="J22" s="31">
        <v>1</v>
      </c>
      <c r="K22" s="31">
        <v>1</v>
      </c>
      <c r="L22" s="31">
        <v>1</v>
      </c>
      <c r="M22" s="32">
        <v>11</v>
      </c>
    </row>
    <row r="23" spans="1:13" ht="14" x14ac:dyDescent="0.15">
      <c r="A23" s="25" t="s">
        <v>45</v>
      </c>
      <c r="B23" s="30">
        <v>1</v>
      </c>
      <c r="C23" s="31">
        <v>1</v>
      </c>
      <c r="D23" s="31">
        <v>1</v>
      </c>
      <c r="E23" s="31">
        <v>1</v>
      </c>
      <c r="F23" s="31">
        <v>1</v>
      </c>
      <c r="G23" s="31">
        <v>1</v>
      </c>
      <c r="H23" s="31">
        <v>1</v>
      </c>
      <c r="I23" s="31">
        <v>1</v>
      </c>
      <c r="J23" s="31">
        <v>1</v>
      </c>
      <c r="K23" s="31">
        <v>1</v>
      </c>
      <c r="L23" s="31">
        <v>1</v>
      </c>
      <c r="M23" s="32">
        <v>11</v>
      </c>
    </row>
    <row r="24" spans="1:13" ht="14" x14ac:dyDescent="0.15">
      <c r="A24" s="25" t="s">
        <v>46</v>
      </c>
      <c r="B24" s="30">
        <v>1</v>
      </c>
      <c r="C24" s="31">
        <v>1</v>
      </c>
      <c r="D24" s="31">
        <v>1</v>
      </c>
      <c r="E24" s="31">
        <v>1</v>
      </c>
      <c r="F24" s="31">
        <v>1</v>
      </c>
      <c r="G24" s="31">
        <v>1</v>
      </c>
      <c r="H24" s="31">
        <v>1</v>
      </c>
      <c r="I24" s="31">
        <v>1</v>
      </c>
      <c r="J24" s="31">
        <v>1</v>
      </c>
      <c r="K24" s="31">
        <v>1</v>
      </c>
      <c r="L24" s="31">
        <v>1</v>
      </c>
      <c r="M24" s="32">
        <v>11</v>
      </c>
    </row>
    <row r="25" spans="1:13" ht="14" x14ac:dyDescent="0.15">
      <c r="A25" s="25" t="s">
        <v>47</v>
      </c>
      <c r="B25" s="30">
        <v>1</v>
      </c>
      <c r="C25" s="31">
        <v>1</v>
      </c>
      <c r="D25" s="31">
        <v>1</v>
      </c>
      <c r="E25" s="31">
        <v>1</v>
      </c>
      <c r="F25" s="31">
        <v>1</v>
      </c>
      <c r="G25" s="31">
        <v>1</v>
      </c>
      <c r="H25" s="31">
        <v>1</v>
      </c>
      <c r="I25" s="31">
        <v>1</v>
      </c>
      <c r="J25" s="31">
        <v>1</v>
      </c>
      <c r="K25" s="31">
        <v>1</v>
      </c>
      <c r="L25" s="31">
        <v>1</v>
      </c>
      <c r="M25" s="32">
        <v>11</v>
      </c>
    </row>
    <row r="26" spans="1:13" ht="14" x14ac:dyDescent="0.15">
      <c r="A26" s="25" t="s">
        <v>48</v>
      </c>
      <c r="B26" s="30">
        <v>1</v>
      </c>
      <c r="C26" s="31">
        <v>1</v>
      </c>
      <c r="D26" s="31">
        <v>1</v>
      </c>
      <c r="E26" s="31">
        <v>1</v>
      </c>
      <c r="F26" s="31">
        <v>1</v>
      </c>
      <c r="G26" s="31">
        <v>1</v>
      </c>
      <c r="H26" s="31">
        <v>1</v>
      </c>
      <c r="I26" s="31">
        <v>1</v>
      </c>
      <c r="J26" s="31">
        <v>1</v>
      </c>
      <c r="K26" s="31">
        <v>1</v>
      </c>
      <c r="L26" s="31">
        <v>1</v>
      </c>
      <c r="M26" s="32">
        <v>11</v>
      </c>
    </row>
    <row r="27" spans="1:13" ht="14" x14ac:dyDescent="0.15">
      <c r="A27" s="25" t="s">
        <v>49</v>
      </c>
      <c r="B27" s="30">
        <v>1</v>
      </c>
      <c r="C27" s="31">
        <v>1</v>
      </c>
      <c r="D27" s="31">
        <v>1</v>
      </c>
      <c r="E27" s="31">
        <v>1</v>
      </c>
      <c r="F27" s="31">
        <v>1</v>
      </c>
      <c r="G27" s="31">
        <v>1</v>
      </c>
      <c r="H27" s="31">
        <v>1</v>
      </c>
      <c r="I27" s="31">
        <v>1</v>
      </c>
      <c r="J27" s="31">
        <v>1</v>
      </c>
      <c r="K27" s="31">
        <v>1</v>
      </c>
      <c r="L27" s="31">
        <v>1</v>
      </c>
      <c r="M27" s="32">
        <v>11</v>
      </c>
    </row>
    <row r="28" spans="1:13" ht="14" x14ac:dyDescent="0.15">
      <c r="A28" s="25" t="s">
        <v>50</v>
      </c>
      <c r="B28" s="30">
        <v>1</v>
      </c>
      <c r="C28" s="31">
        <v>1</v>
      </c>
      <c r="D28" s="31">
        <v>1</v>
      </c>
      <c r="E28" s="31">
        <v>1</v>
      </c>
      <c r="F28" s="31">
        <v>1</v>
      </c>
      <c r="G28" s="31">
        <v>1</v>
      </c>
      <c r="H28" s="31">
        <v>1</v>
      </c>
      <c r="I28" s="31">
        <v>1</v>
      </c>
      <c r="J28" s="31">
        <v>1</v>
      </c>
      <c r="K28" s="31">
        <v>1</v>
      </c>
      <c r="L28" s="31">
        <v>1</v>
      </c>
      <c r="M28" s="32">
        <v>11</v>
      </c>
    </row>
    <row r="29" spans="1:13" ht="14" x14ac:dyDescent="0.15">
      <c r="A29" s="25" t="s">
        <v>51</v>
      </c>
      <c r="B29" s="30">
        <v>1</v>
      </c>
      <c r="C29" s="31">
        <v>1</v>
      </c>
      <c r="D29" s="31">
        <v>1</v>
      </c>
      <c r="E29" s="31">
        <v>1</v>
      </c>
      <c r="F29" s="31">
        <v>1</v>
      </c>
      <c r="G29" s="31">
        <v>1</v>
      </c>
      <c r="H29" s="31">
        <v>1</v>
      </c>
      <c r="I29" s="31">
        <v>1</v>
      </c>
      <c r="J29" s="31">
        <v>1</v>
      </c>
      <c r="K29" s="31">
        <v>1</v>
      </c>
      <c r="L29" s="31">
        <v>1</v>
      </c>
      <c r="M29" s="32">
        <v>11</v>
      </c>
    </row>
    <row r="30" spans="1:13" ht="14" x14ac:dyDescent="0.15">
      <c r="A30" s="25" t="s">
        <v>52</v>
      </c>
      <c r="B30" s="30">
        <v>1</v>
      </c>
      <c r="C30" s="31">
        <v>1</v>
      </c>
      <c r="D30" s="31">
        <v>1</v>
      </c>
      <c r="E30" s="31">
        <v>1</v>
      </c>
      <c r="F30" s="31">
        <v>1</v>
      </c>
      <c r="G30" s="31">
        <v>1</v>
      </c>
      <c r="H30" s="31">
        <v>1</v>
      </c>
      <c r="I30" s="31">
        <v>1</v>
      </c>
      <c r="J30" s="31">
        <v>1</v>
      </c>
      <c r="K30" s="31">
        <v>1</v>
      </c>
      <c r="L30" s="31">
        <v>1</v>
      </c>
      <c r="M30" s="32">
        <v>11</v>
      </c>
    </row>
    <row r="31" spans="1:13" ht="14" x14ac:dyDescent="0.15">
      <c r="A31" s="25" t="s">
        <v>53</v>
      </c>
      <c r="B31" s="30">
        <v>1</v>
      </c>
      <c r="C31" s="31">
        <v>1</v>
      </c>
      <c r="D31" s="31">
        <v>1</v>
      </c>
      <c r="E31" s="31">
        <v>1</v>
      </c>
      <c r="F31" s="31">
        <v>1</v>
      </c>
      <c r="G31" s="31">
        <v>1</v>
      </c>
      <c r="H31" s="31">
        <v>1</v>
      </c>
      <c r="I31" s="31">
        <v>1</v>
      </c>
      <c r="J31" s="31">
        <v>1</v>
      </c>
      <c r="K31" s="31">
        <v>1</v>
      </c>
      <c r="L31" s="31">
        <v>1</v>
      </c>
      <c r="M31" s="32">
        <v>11</v>
      </c>
    </row>
    <row r="32" spans="1:13" ht="14" x14ac:dyDescent="0.15">
      <c r="A32" s="25" t="s">
        <v>54</v>
      </c>
      <c r="B32" s="30">
        <v>1</v>
      </c>
      <c r="C32" s="31">
        <v>1</v>
      </c>
      <c r="D32" s="31">
        <v>1</v>
      </c>
      <c r="E32" s="31">
        <v>1</v>
      </c>
      <c r="F32" s="31">
        <v>1</v>
      </c>
      <c r="G32" s="31">
        <v>1</v>
      </c>
      <c r="H32" s="31">
        <v>1</v>
      </c>
      <c r="I32" s="31">
        <v>1</v>
      </c>
      <c r="J32" s="31">
        <v>1</v>
      </c>
      <c r="K32" s="31">
        <v>1</v>
      </c>
      <c r="L32" s="31">
        <v>1</v>
      </c>
      <c r="M32" s="32">
        <v>11</v>
      </c>
    </row>
    <row r="33" spans="1:13" ht="14" x14ac:dyDescent="0.15">
      <c r="A33" s="26" t="s">
        <v>56</v>
      </c>
      <c r="B33" s="33">
        <v>28</v>
      </c>
      <c r="C33" s="34">
        <v>28</v>
      </c>
      <c r="D33" s="34">
        <v>28</v>
      </c>
      <c r="E33" s="34">
        <v>28</v>
      </c>
      <c r="F33" s="34">
        <v>28</v>
      </c>
      <c r="G33" s="34">
        <v>28</v>
      </c>
      <c r="H33" s="34">
        <v>28</v>
      </c>
      <c r="I33" s="34">
        <v>28</v>
      </c>
      <c r="J33" s="34">
        <v>28</v>
      </c>
      <c r="K33" s="34">
        <v>28</v>
      </c>
      <c r="L33" s="34">
        <v>28</v>
      </c>
      <c r="M33" s="35">
        <v>308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C687C-5216-F441-83ED-A1FB2EC8FFE2}">
  <dimension ref="A3:A26"/>
  <sheetViews>
    <sheetView zoomScale="108" workbookViewId="0">
      <selection activeCell="A4" sqref="A4"/>
    </sheetView>
  </sheetViews>
  <sheetFormatPr baseColWidth="10" defaultRowHeight="13" x14ac:dyDescent="0.15"/>
  <cols>
    <col min="1" max="1" width="21.6640625" bestFit="1" customWidth="1"/>
  </cols>
  <sheetData>
    <row r="3" spans="1:1" ht="14" x14ac:dyDescent="0.15">
      <c r="A3" s="17" t="s">
        <v>55</v>
      </c>
    </row>
    <row r="4" spans="1:1" x14ac:dyDescent="0.15">
      <c r="A4" s="18">
        <v>10934</v>
      </c>
    </row>
    <row r="5" spans="1:1" ht="14" x14ac:dyDescent="0.15">
      <c r="A5" s="38" t="s">
        <v>19</v>
      </c>
    </row>
    <row r="6" spans="1:1" x14ac:dyDescent="0.15">
      <c r="A6" s="19">
        <v>39889</v>
      </c>
    </row>
    <row r="7" spans="1:1" ht="14" x14ac:dyDescent="0.15">
      <c r="A7" s="38" t="s">
        <v>26</v>
      </c>
    </row>
    <row r="8" spans="1:1" x14ac:dyDescent="0.15">
      <c r="A8" s="19">
        <v>127823</v>
      </c>
    </row>
    <row r="9" spans="1:1" ht="14" x14ac:dyDescent="0.15">
      <c r="A9" s="38" t="s">
        <v>18</v>
      </c>
    </row>
    <row r="10" spans="1:1" x14ac:dyDescent="0.15">
      <c r="A10" s="19">
        <v>348934</v>
      </c>
    </row>
    <row r="11" spans="1:1" ht="14" x14ac:dyDescent="0.15">
      <c r="A11" s="38" t="s">
        <v>67</v>
      </c>
    </row>
    <row r="12" spans="1:1" x14ac:dyDescent="0.15">
      <c r="A12" s="19">
        <v>349043</v>
      </c>
    </row>
    <row r="13" spans="1:1" ht="14" x14ac:dyDescent="0.15">
      <c r="A13" s="38" t="s">
        <v>13</v>
      </c>
    </row>
    <row r="14" spans="1:1" x14ac:dyDescent="0.15">
      <c r="A14" s="19">
        <v>374754</v>
      </c>
    </row>
    <row r="15" spans="1:1" ht="14" x14ac:dyDescent="0.15">
      <c r="A15" s="38" t="s">
        <v>25</v>
      </c>
    </row>
    <row r="16" spans="1:1" x14ac:dyDescent="0.15">
      <c r="A16" s="19">
        <v>544756</v>
      </c>
    </row>
    <row r="17" spans="1:1" ht="14" x14ac:dyDescent="0.15">
      <c r="A17" s="38" t="s">
        <v>24</v>
      </c>
    </row>
    <row r="18" spans="1:1" x14ac:dyDescent="0.15">
      <c r="A18" s="19">
        <v>983498</v>
      </c>
    </row>
    <row r="19" spans="1:1" ht="14" x14ac:dyDescent="0.15">
      <c r="A19" s="38" t="s">
        <v>22</v>
      </c>
    </row>
    <row r="20" spans="1:1" x14ac:dyDescent="0.15">
      <c r="A20" s="19">
        <v>4387490</v>
      </c>
    </row>
    <row r="21" spans="1:1" ht="14" x14ac:dyDescent="0.15">
      <c r="A21" s="38" t="s">
        <v>23</v>
      </c>
    </row>
    <row r="22" spans="1:1" x14ac:dyDescent="0.15">
      <c r="A22" s="19">
        <v>9034945</v>
      </c>
    </row>
    <row r="23" spans="1:1" ht="14" x14ac:dyDescent="0.15">
      <c r="A23" s="38" t="s">
        <v>21</v>
      </c>
    </row>
    <row r="24" spans="1:1" x14ac:dyDescent="0.15">
      <c r="A24" s="19">
        <v>89459845</v>
      </c>
    </row>
    <row r="25" spans="1:1" ht="14" x14ac:dyDescent="0.15">
      <c r="A25" s="38" t="s">
        <v>16</v>
      </c>
    </row>
    <row r="26" spans="1:1" ht="14" x14ac:dyDescent="0.15">
      <c r="A26" s="20" t="s">
        <v>56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18E0-D0D6-034A-A914-B492DD15D39A}">
  <dimension ref="A3:A26"/>
  <sheetViews>
    <sheetView workbookViewId="0">
      <selection activeCell="A3" sqref="A3"/>
    </sheetView>
  </sheetViews>
  <sheetFormatPr baseColWidth="10" defaultRowHeight="13" x14ac:dyDescent="0.15"/>
  <cols>
    <col min="1" max="1" width="18.83203125" bestFit="1" customWidth="1"/>
  </cols>
  <sheetData>
    <row r="3" spans="1:1" ht="14" x14ac:dyDescent="0.15">
      <c r="A3" s="17" t="s">
        <v>55</v>
      </c>
    </row>
    <row r="4" spans="1:1" ht="14" x14ac:dyDescent="0.15">
      <c r="A4" s="18" t="s">
        <v>26</v>
      </c>
    </row>
    <row r="5" spans="1:1" ht="14" x14ac:dyDescent="0.15">
      <c r="A5" s="38" t="s">
        <v>27</v>
      </c>
    </row>
    <row r="6" spans="1:1" ht="14" x14ac:dyDescent="0.15">
      <c r="A6" s="19" t="s">
        <v>24</v>
      </c>
    </row>
    <row r="7" spans="1:1" ht="14" x14ac:dyDescent="0.15">
      <c r="A7" s="38" t="s">
        <v>14</v>
      </c>
    </row>
    <row r="8" spans="1:1" ht="14" x14ac:dyDescent="0.15">
      <c r="A8" s="19" t="s">
        <v>23</v>
      </c>
    </row>
    <row r="9" spans="1:1" ht="14" x14ac:dyDescent="0.15">
      <c r="A9" s="38" t="s">
        <v>14</v>
      </c>
    </row>
    <row r="10" spans="1:1" ht="14" x14ac:dyDescent="0.15">
      <c r="A10" s="19" t="s">
        <v>13</v>
      </c>
    </row>
    <row r="11" spans="1:1" ht="14" x14ac:dyDescent="0.15">
      <c r="A11" s="38" t="s">
        <v>14</v>
      </c>
    </row>
    <row r="12" spans="1:1" ht="14" x14ac:dyDescent="0.15">
      <c r="A12" s="19" t="s">
        <v>15</v>
      </c>
    </row>
    <row r="13" spans="1:1" ht="14" x14ac:dyDescent="0.15">
      <c r="A13" s="38" t="s">
        <v>14</v>
      </c>
    </row>
    <row r="14" spans="1:1" ht="14" x14ac:dyDescent="0.15">
      <c r="A14" s="19" t="s">
        <v>16</v>
      </c>
    </row>
    <row r="15" spans="1:1" ht="14" x14ac:dyDescent="0.15">
      <c r="A15" s="38" t="s">
        <v>17</v>
      </c>
    </row>
    <row r="16" spans="1:1" ht="14" x14ac:dyDescent="0.15">
      <c r="A16" s="19" t="s">
        <v>18</v>
      </c>
    </row>
    <row r="17" spans="1:1" ht="14" x14ac:dyDescent="0.15">
      <c r="A17" s="38" t="s">
        <v>17</v>
      </c>
    </row>
    <row r="18" spans="1:1" ht="14" x14ac:dyDescent="0.15">
      <c r="A18" s="19" t="s">
        <v>25</v>
      </c>
    </row>
    <row r="19" spans="1:1" ht="14" x14ac:dyDescent="0.15">
      <c r="A19" s="38" t="s">
        <v>20</v>
      </c>
    </row>
    <row r="20" spans="1:1" ht="14" x14ac:dyDescent="0.15">
      <c r="A20" s="19" t="s">
        <v>21</v>
      </c>
    </row>
    <row r="21" spans="1:1" ht="14" x14ac:dyDescent="0.15">
      <c r="A21" s="38" t="s">
        <v>14</v>
      </c>
    </row>
    <row r="22" spans="1:1" ht="14" x14ac:dyDescent="0.15">
      <c r="A22" s="19" t="s">
        <v>22</v>
      </c>
    </row>
    <row r="23" spans="1:1" ht="14" x14ac:dyDescent="0.15">
      <c r="A23" s="38" t="s">
        <v>14</v>
      </c>
    </row>
    <row r="24" spans="1:1" ht="14" x14ac:dyDescent="0.15">
      <c r="A24" s="19" t="s">
        <v>19</v>
      </c>
    </row>
    <row r="25" spans="1:1" ht="14" x14ac:dyDescent="0.15">
      <c r="A25" s="38" t="s">
        <v>20</v>
      </c>
    </row>
    <row r="26" spans="1:1" ht="14" x14ac:dyDescent="0.15">
      <c r="A26" s="20" t="s">
        <v>56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10"/>
  <sheetViews>
    <sheetView showGridLines="0" zoomScale="116" workbookViewId="0">
      <selection activeCell="C3" sqref="C3"/>
    </sheetView>
  </sheetViews>
  <sheetFormatPr baseColWidth="10" defaultColWidth="8.33203125" defaultRowHeight="20" customHeight="1" x14ac:dyDescent="0.15"/>
  <cols>
    <col min="1" max="1" width="3.33203125" style="1" customWidth="1"/>
    <col min="2" max="3" width="10.1640625" style="1" customWidth="1"/>
    <col min="4" max="4" width="17.1640625" style="1" customWidth="1"/>
    <col min="5" max="5" width="21.6640625" style="1" customWidth="1"/>
    <col min="6" max="6" width="8.6640625" style="1" customWidth="1"/>
    <col min="7" max="7" width="11.6640625" style="1" customWidth="1"/>
    <col min="8" max="8" width="11.1640625" style="1" customWidth="1"/>
    <col min="9" max="10" width="10.83203125" style="1" customWidth="1"/>
    <col min="11" max="11" width="6.1640625" style="1" customWidth="1"/>
    <col min="12" max="12" width="18.6640625" style="1" customWidth="1"/>
    <col min="13" max="13" width="5.6640625" style="1" customWidth="1"/>
    <col min="14" max="14" width="15.5" style="1" customWidth="1"/>
    <col min="15" max="15" width="6.6640625" style="1" customWidth="1"/>
    <col min="16" max="16" width="14" style="1" customWidth="1"/>
    <col min="17" max="17" width="9.33203125" style="1" customWidth="1"/>
    <col min="18" max="18" width="20" style="1" customWidth="1"/>
    <col min="19" max="19" width="14.5" style="1" customWidth="1"/>
    <col min="20" max="20" width="15" style="1" customWidth="1"/>
    <col min="21" max="21" width="12.83203125" style="1" customWidth="1"/>
    <col min="22" max="16384" width="8.33203125" style="1"/>
  </cols>
  <sheetData>
    <row r="1" spans="1:21" ht="27.75" customHeight="1" x14ac:dyDescent="0.15">
      <c r="A1" s="86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</row>
    <row r="2" spans="1:21" ht="20.25" customHeight="1" x14ac:dyDescent="0.15">
      <c r="A2" s="2" t="s">
        <v>1</v>
      </c>
      <c r="B2" s="2" t="s">
        <v>2</v>
      </c>
      <c r="C2" s="2" t="s">
        <v>69</v>
      </c>
      <c r="D2" s="2" t="s">
        <v>3</v>
      </c>
      <c r="E2" s="2" t="s">
        <v>59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68</v>
      </c>
      <c r="K2" s="2" t="s">
        <v>8</v>
      </c>
      <c r="L2" s="2" t="s">
        <v>62</v>
      </c>
      <c r="M2" s="2" t="s">
        <v>9</v>
      </c>
      <c r="N2" s="2" t="s">
        <v>61</v>
      </c>
      <c r="O2" s="2" t="s">
        <v>10</v>
      </c>
      <c r="P2" s="2" t="s">
        <v>60</v>
      </c>
      <c r="Q2" s="2" t="s">
        <v>11</v>
      </c>
      <c r="R2" s="37" t="s">
        <v>63</v>
      </c>
      <c r="S2" s="37" t="s">
        <v>64</v>
      </c>
      <c r="T2" s="37" t="s">
        <v>65</v>
      </c>
      <c r="U2" s="37" t="s">
        <v>66</v>
      </c>
    </row>
    <row r="3" spans="1:21" ht="20.25" customHeight="1" x14ac:dyDescent="0.15">
      <c r="A3" s="3">
        <v>242</v>
      </c>
      <c r="B3" s="4" t="s">
        <v>48</v>
      </c>
      <c r="C3" s="41">
        <f>DATEVALUE(B3)</f>
        <v>44249</v>
      </c>
      <c r="D3" s="5" t="s">
        <v>26</v>
      </c>
      <c r="E3" s="36" t="str">
        <f t="shared" ref="E3:E66" si="0">TRIM(LOWER(D3))</f>
        <v>banner_partner</v>
      </c>
      <c r="F3" s="5" t="s">
        <v>27</v>
      </c>
      <c r="G3" s="6">
        <v>39889</v>
      </c>
      <c r="H3" s="6">
        <v>105873774</v>
      </c>
      <c r="I3" s="7">
        <v>60021.599999999999</v>
      </c>
      <c r="J3" s="40">
        <f t="shared" ref="J3:J66" si="1">(K3)/(H3)</f>
        <v>7.9424768592833953E-5</v>
      </c>
      <c r="K3" s="6">
        <v>8409</v>
      </c>
      <c r="L3" s="6" t="b">
        <f t="shared" ref="L3:L66" si="2">(K3)&gt;(H3)</f>
        <v>0</v>
      </c>
      <c r="M3" s="6">
        <v>168</v>
      </c>
      <c r="N3" s="6" t="b">
        <f>M3&gt;K3</f>
        <v>0</v>
      </c>
      <c r="O3" s="6">
        <v>20</v>
      </c>
      <c r="P3" s="6" t="b">
        <f>(O3)&gt;(M3)</f>
        <v>0</v>
      </c>
      <c r="Q3" s="7">
        <v>80600</v>
      </c>
      <c r="R3" s="1">
        <f>MOD(H3, 1)</f>
        <v>0</v>
      </c>
      <c r="S3" s="1">
        <f>MOD(K3, 1)</f>
        <v>0</v>
      </c>
      <c r="T3" s="1">
        <f>MOD(M3,1)</f>
        <v>0</v>
      </c>
      <c r="U3" s="1">
        <f>MOD(O3,1)</f>
        <v>0</v>
      </c>
    </row>
    <row r="4" spans="1:21" ht="20" customHeight="1" x14ac:dyDescent="0.15">
      <c r="A4" s="8">
        <v>11</v>
      </c>
      <c r="B4" s="9" t="s">
        <v>12</v>
      </c>
      <c r="C4" s="41">
        <f t="shared" ref="C4:C67" si="3">DATEVALUE(B4)</f>
        <v>44228</v>
      </c>
      <c r="D4" s="10" t="s">
        <v>26</v>
      </c>
      <c r="E4" s="36" t="str">
        <f t="shared" si="0"/>
        <v>banner_partner</v>
      </c>
      <c r="F4" s="10" t="s">
        <v>27</v>
      </c>
      <c r="G4" s="11">
        <v>39889</v>
      </c>
      <c r="H4" s="11">
        <v>20900000</v>
      </c>
      <c r="I4" s="13">
        <v>931.99</v>
      </c>
      <c r="J4" s="40">
        <f t="shared" si="1"/>
        <v>1E-4</v>
      </c>
      <c r="K4" s="11">
        <v>2090</v>
      </c>
      <c r="L4" s="6" t="b">
        <f t="shared" si="2"/>
        <v>0</v>
      </c>
      <c r="M4" s="11">
        <v>3</v>
      </c>
      <c r="N4" s="6" t="b">
        <f t="shared" ref="N4:N67" si="4">(M4)&gt;(K4)</f>
        <v>0</v>
      </c>
      <c r="O4" s="11">
        <v>0</v>
      </c>
      <c r="P4" s="6" t="b">
        <f t="shared" ref="P4:P35" si="5">(O3)&gt;(M3)</f>
        <v>0</v>
      </c>
      <c r="Q4" s="12">
        <v>0</v>
      </c>
      <c r="R4" s="1">
        <f t="shared" ref="R4:R67" si="6">MOD(H4, 1)</f>
        <v>0</v>
      </c>
      <c r="S4" s="1">
        <f t="shared" ref="S4:S67" si="7">MOD(K4, 1)</f>
        <v>0</v>
      </c>
      <c r="T4" s="1">
        <f t="shared" ref="T4:T67" si="8">MOD(M4,1)</f>
        <v>0</v>
      </c>
      <c r="U4" s="1">
        <f t="shared" ref="U4:U67" si="9">MOD(O4,1)</f>
        <v>0</v>
      </c>
    </row>
    <row r="5" spans="1:21" ht="20" customHeight="1" x14ac:dyDescent="0.15">
      <c r="A5" s="8">
        <v>22</v>
      </c>
      <c r="B5" s="9" t="s">
        <v>28</v>
      </c>
      <c r="C5" s="41">
        <f t="shared" si="3"/>
        <v>44229</v>
      </c>
      <c r="D5" s="10" t="s">
        <v>26</v>
      </c>
      <c r="E5" s="36" t="str">
        <f t="shared" si="0"/>
        <v>banner_partner</v>
      </c>
      <c r="F5" s="10" t="s">
        <v>27</v>
      </c>
      <c r="G5" s="11">
        <v>39889</v>
      </c>
      <c r="H5" s="11">
        <v>42000000</v>
      </c>
      <c r="I5" s="12">
        <v>46159.8</v>
      </c>
      <c r="J5" s="40">
        <f t="shared" si="1"/>
        <v>1E-4</v>
      </c>
      <c r="K5" s="11">
        <v>4200</v>
      </c>
      <c r="L5" s="6" t="b">
        <f t="shared" si="2"/>
        <v>0</v>
      </c>
      <c r="M5" s="11">
        <v>92</v>
      </c>
      <c r="N5" s="6" t="b">
        <f t="shared" si="4"/>
        <v>0</v>
      </c>
      <c r="O5" s="11">
        <v>13</v>
      </c>
      <c r="P5" s="6" t="b">
        <f t="shared" si="5"/>
        <v>0</v>
      </c>
      <c r="Q5" s="12">
        <v>51753</v>
      </c>
      <c r="R5" s="1">
        <f t="shared" si="6"/>
        <v>0</v>
      </c>
      <c r="S5" s="1">
        <f t="shared" si="7"/>
        <v>0</v>
      </c>
      <c r="T5" s="1">
        <f t="shared" si="8"/>
        <v>0</v>
      </c>
      <c r="U5" s="1">
        <f t="shared" si="9"/>
        <v>0</v>
      </c>
    </row>
    <row r="6" spans="1:21" ht="20" customHeight="1" x14ac:dyDescent="0.15">
      <c r="A6" s="8">
        <v>33</v>
      </c>
      <c r="B6" s="9" t="s">
        <v>29</v>
      </c>
      <c r="C6" s="41">
        <f t="shared" si="3"/>
        <v>44230</v>
      </c>
      <c r="D6" s="10" t="s">
        <v>26</v>
      </c>
      <c r="E6" s="36" t="str">
        <f t="shared" si="0"/>
        <v>banner_partner</v>
      </c>
      <c r="F6" s="10" t="s">
        <v>27</v>
      </c>
      <c r="G6" s="11">
        <v>39889</v>
      </c>
      <c r="H6" s="11">
        <v>125910000</v>
      </c>
      <c r="I6" s="12">
        <v>29378.3</v>
      </c>
      <c r="J6" s="40">
        <f t="shared" si="1"/>
        <v>1E-4</v>
      </c>
      <c r="K6" s="11">
        <v>12591</v>
      </c>
      <c r="L6" s="6" t="b">
        <f t="shared" si="2"/>
        <v>0</v>
      </c>
      <c r="M6" s="11">
        <v>68</v>
      </c>
      <c r="N6" s="6" t="b">
        <f t="shared" si="4"/>
        <v>0</v>
      </c>
      <c r="O6" s="11">
        <v>13</v>
      </c>
      <c r="P6" s="6" t="b">
        <f t="shared" si="5"/>
        <v>0</v>
      </c>
      <c r="Q6" s="12">
        <v>51753</v>
      </c>
      <c r="R6" s="1">
        <f t="shared" si="6"/>
        <v>0</v>
      </c>
      <c r="S6" s="1">
        <f t="shared" si="7"/>
        <v>0</v>
      </c>
      <c r="T6" s="1">
        <f t="shared" si="8"/>
        <v>0</v>
      </c>
      <c r="U6" s="1">
        <f t="shared" si="9"/>
        <v>0</v>
      </c>
    </row>
    <row r="7" spans="1:21" ht="20" customHeight="1" x14ac:dyDescent="0.15">
      <c r="A7" s="8">
        <v>66</v>
      </c>
      <c r="B7" s="9" t="s">
        <v>32</v>
      </c>
      <c r="C7" s="41">
        <f t="shared" si="3"/>
        <v>44233</v>
      </c>
      <c r="D7" s="10" t="s">
        <v>26</v>
      </c>
      <c r="E7" s="36" t="str">
        <f t="shared" si="0"/>
        <v>banner_partner</v>
      </c>
      <c r="F7" s="10" t="s">
        <v>27</v>
      </c>
      <c r="G7" s="11">
        <v>39889</v>
      </c>
      <c r="H7" s="11">
        <v>42070000</v>
      </c>
      <c r="I7" s="12">
        <v>38185.199999999997</v>
      </c>
      <c r="J7" s="40">
        <f t="shared" si="1"/>
        <v>1E-4</v>
      </c>
      <c r="K7" s="11">
        <v>4207</v>
      </c>
      <c r="L7" s="6" t="b">
        <f t="shared" si="2"/>
        <v>0</v>
      </c>
      <c r="M7" s="11">
        <v>84</v>
      </c>
      <c r="N7" s="6" t="b">
        <f t="shared" si="4"/>
        <v>0</v>
      </c>
      <c r="O7" s="11">
        <v>10</v>
      </c>
      <c r="P7" s="6" t="b">
        <f t="shared" si="5"/>
        <v>0</v>
      </c>
      <c r="Q7" s="12">
        <v>48820</v>
      </c>
      <c r="R7" s="1">
        <f t="shared" si="6"/>
        <v>0</v>
      </c>
      <c r="S7" s="1">
        <f t="shared" si="7"/>
        <v>0</v>
      </c>
      <c r="T7" s="1">
        <f t="shared" si="8"/>
        <v>0</v>
      </c>
      <c r="U7" s="1">
        <f t="shared" si="9"/>
        <v>0</v>
      </c>
    </row>
    <row r="8" spans="1:21" ht="20" customHeight="1" x14ac:dyDescent="0.15">
      <c r="A8" s="8">
        <v>198</v>
      </c>
      <c r="B8" s="9" t="s">
        <v>44</v>
      </c>
      <c r="C8" s="41">
        <f t="shared" si="3"/>
        <v>44245</v>
      </c>
      <c r="D8" s="10" t="s">
        <v>26</v>
      </c>
      <c r="E8" s="36" t="str">
        <f t="shared" si="0"/>
        <v>banner_partner</v>
      </c>
      <c r="F8" s="10" t="s">
        <v>27</v>
      </c>
      <c r="G8" s="11">
        <v>39889</v>
      </c>
      <c r="H8" s="11">
        <v>419970000</v>
      </c>
      <c r="I8" s="12">
        <v>339735</v>
      </c>
      <c r="J8" s="40">
        <f t="shared" si="1"/>
        <v>1E-4</v>
      </c>
      <c r="K8" s="11">
        <v>41997</v>
      </c>
      <c r="L8" s="6" t="b">
        <f t="shared" si="2"/>
        <v>0</v>
      </c>
      <c r="M8" s="11">
        <v>840</v>
      </c>
      <c r="N8" s="6" t="b">
        <f t="shared" si="4"/>
        <v>0</v>
      </c>
      <c r="O8" s="11">
        <v>114</v>
      </c>
      <c r="P8" s="6" t="b">
        <f t="shared" si="5"/>
        <v>0</v>
      </c>
      <c r="Q8" s="12">
        <v>516420</v>
      </c>
      <c r="R8" s="1">
        <f t="shared" si="6"/>
        <v>0</v>
      </c>
      <c r="S8" s="1">
        <f t="shared" si="7"/>
        <v>0</v>
      </c>
      <c r="T8" s="1">
        <f t="shared" si="8"/>
        <v>0</v>
      </c>
      <c r="U8" s="1">
        <f t="shared" si="9"/>
        <v>0</v>
      </c>
    </row>
    <row r="9" spans="1:21" ht="20" customHeight="1" x14ac:dyDescent="0.15">
      <c r="A9" s="8">
        <v>231</v>
      </c>
      <c r="B9" s="9" t="s">
        <v>47</v>
      </c>
      <c r="C9" s="41">
        <f t="shared" si="3"/>
        <v>44248</v>
      </c>
      <c r="D9" s="10" t="s">
        <v>26</v>
      </c>
      <c r="E9" s="36" t="str">
        <f t="shared" si="0"/>
        <v>banner_partner</v>
      </c>
      <c r="F9" s="10" t="s">
        <v>27</v>
      </c>
      <c r="G9" s="11">
        <v>39889</v>
      </c>
      <c r="H9" s="11">
        <v>42080000</v>
      </c>
      <c r="I9" s="12">
        <v>25023.200000000001</v>
      </c>
      <c r="J9" s="40">
        <f t="shared" si="1"/>
        <v>1E-4</v>
      </c>
      <c r="K9" s="11">
        <v>4208</v>
      </c>
      <c r="L9" s="6" t="b">
        <f t="shared" si="2"/>
        <v>0</v>
      </c>
      <c r="M9" s="11">
        <v>67</v>
      </c>
      <c r="N9" s="6" t="b">
        <f t="shared" si="4"/>
        <v>0</v>
      </c>
      <c r="O9" s="11">
        <v>10</v>
      </c>
      <c r="P9" s="6" t="b">
        <f t="shared" si="5"/>
        <v>0</v>
      </c>
      <c r="Q9" s="12">
        <v>31710</v>
      </c>
      <c r="R9" s="1">
        <f t="shared" si="6"/>
        <v>0</v>
      </c>
      <c r="S9" s="1">
        <f t="shared" si="7"/>
        <v>0</v>
      </c>
      <c r="T9" s="1">
        <f t="shared" si="8"/>
        <v>0</v>
      </c>
      <c r="U9" s="1">
        <f t="shared" si="9"/>
        <v>0</v>
      </c>
    </row>
    <row r="10" spans="1:21" ht="20" customHeight="1" x14ac:dyDescent="0.15">
      <c r="A10" s="8">
        <v>286</v>
      </c>
      <c r="B10" s="9" t="s">
        <v>52</v>
      </c>
      <c r="C10" s="41">
        <f t="shared" si="3"/>
        <v>44253</v>
      </c>
      <c r="D10" s="10" t="s">
        <v>26</v>
      </c>
      <c r="E10" s="36" t="str">
        <f t="shared" si="0"/>
        <v>banner_partner</v>
      </c>
      <c r="F10" s="10" t="s">
        <v>27</v>
      </c>
      <c r="G10" s="11">
        <v>39889</v>
      </c>
      <c r="H10" s="11">
        <v>20930000</v>
      </c>
      <c r="I10" s="13">
        <v>8087.73</v>
      </c>
      <c r="J10" s="40">
        <f t="shared" si="1"/>
        <v>1E-4</v>
      </c>
      <c r="K10" s="11">
        <v>2093</v>
      </c>
      <c r="L10" s="6" t="b">
        <f t="shared" si="2"/>
        <v>0</v>
      </c>
      <c r="M10" s="11">
        <v>22</v>
      </c>
      <c r="N10" s="6" t="b">
        <f t="shared" si="4"/>
        <v>0</v>
      </c>
      <c r="O10" s="11">
        <v>3</v>
      </c>
      <c r="P10" s="6" t="b">
        <f t="shared" si="5"/>
        <v>0</v>
      </c>
      <c r="Q10" s="12">
        <v>12213</v>
      </c>
      <c r="R10" s="1">
        <f t="shared" si="6"/>
        <v>0</v>
      </c>
      <c r="S10" s="1">
        <f t="shared" si="7"/>
        <v>0</v>
      </c>
      <c r="T10" s="1">
        <f t="shared" si="8"/>
        <v>0</v>
      </c>
      <c r="U10" s="1">
        <f t="shared" si="9"/>
        <v>0</v>
      </c>
    </row>
    <row r="11" spans="1:21" ht="20" customHeight="1" x14ac:dyDescent="0.15">
      <c r="A11" s="8">
        <v>308</v>
      </c>
      <c r="B11" s="9" t="s">
        <v>54</v>
      </c>
      <c r="C11" s="41">
        <f t="shared" si="3"/>
        <v>44255</v>
      </c>
      <c r="D11" s="10" t="s">
        <v>26</v>
      </c>
      <c r="E11" s="36" t="str">
        <f t="shared" si="0"/>
        <v>banner_partner</v>
      </c>
      <c r="F11" s="10" t="s">
        <v>27</v>
      </c>
      <c r="G11" s="11">
        <v>39889</v>
      </c>
      <c r="H11" s="11">
        <v>8490000</v>
      </c>
      <c r="I11" s="13">
        <v>6822.62</v>
      </c>
      <c r="J11" s="40">
        <f t="shared" si="1"/>
        <v>1E-4</v>
      </c>
      <c r="K11" s="11">
        <v>849</v>
      </c>
      <c r="L11" s="6" t="b">
        <f t="shared" si="2"/>
        <v>0</v>
      </c>
      <c r="M11" s="11">
        <v>18</v>
      </c>
      <c r="N11" s="6" t="b">
        <f t="shared" si="4"/>
        <v>0</v>
      </c>
      <c r="O11" s="11">
        <v>2</v>
      </c>
      <c r="P11" s="6" t="b">
        <f t="shared" si="5"/>
        <v>0</v>
      </c>
      <c r="Q11" s="12">
        <v>7030</v>
      </c>
      <c r="R11" s="1">
        <f t="shared" si="6"/>
        <v>0</v>
      </c>
      <c r="S11" s="1">
        <f t="shared" si="7"/>
        <v>0</v>
      </c>
      <c r="T11" s="1">
        <f t="shared" si="8"/>
        <v>0</v>
      </c>
      <c r="U11" s="1">
        <f t="shared" si="9"/>
        <v>0</v>
      </c>
    </row>
    <row r="12" spans="1:21" ht="20" customHeight="1" x14ac:dyDescent="0.15">
      <c r="A12" s="8">
        <v>275</v>
      </c>
      <c r="B12" s="9" t="s">
        <v>51</v>
      </c>
      <c r="C12" s="41">
        <f t="shared" si="3"/>
        <v>44252</v>
      </c>
      <c r="D12" s="10" t="s">
        <v>26</v>
      </c>
      <c r="E12" s="36" t="str">
        <f t="shared" si="0"/>
        <v>banner_partner</v>
      </c>
      <c r="F12" s="10" t="s">
        <v>27</v>
      </c>
      <c r="G12" s="11">
        <v>39889</v>
      </c>
      <c r="H12" s="11">
        <v>2885291</v>
      </c>
      <c r="I12" s="13">
        <v>7583.66</v>
      </c>
      <c r="J12" s="40">
        <f t="shared" si="1"/>
        <v>2.9390449698141365E-4</v>
      </c>
      <c r="K12" s="11">
        <v>848</v>
      </c>
      <c r="L12" s="6" t="b">
        <f t="shared" si="2"/>
        <v>0</v>
      </c>
      <c r="M12" s="11">
        <v>17</v>
      </c>
      <c r="N12" s="6" t="b">
        <f t="shared" si="4"/>
        <v>0</v>
      </c>
      <c r="O12" s="11">
        <v>3</v>
      </c>
      <c r="P12" s="6" t="b">
        <f t="shared" si="5"/>
        <v>0</v>
      </c>
      <c r="Q12" s="12">
        <v>11943</v>
      </c>
      <c r="R12" s="1">
        <f t="shared" si="6"/>
        <v>0</v>
      </c>
      <c r="S12" s="1">
        <f t="shared" si="7"/>
        <v>0</v>
      </c>
      <c r="T12" s="1">
        <f t="shared" si="8"/>
        <v>0</v>
      </c>
      <c r="U12" s="1">
        <f t="shared" si="9"/>
        <v>0</v>
      </c>
    </row>
    <row r="13" spans="1:21" ht="20" customHeight="1" x14ac:dyDescent="0.15">
      <c r="A13" s="8">
        <v>44</v>
      </c>
      <c r="B13" s="9" t="s">
        <v>30</v>
      </c>
      <c r="C13" s="41">
        <f t="shared" si="3"/>
        <v>44231</v>
      </c>
      <c r="D13" s="10" t="s">
        <v>26</v>
      </c>
      <c r="E13" s="36" t="str">
        <f t="shared" si="0"/>
        <v>banner_partner</v>
      </c>
      <c r="F13" s="10" t="s">
        <v>27</v>
      </c>
      <c r="G13" s="11">
        <v>39889</v>
      </c>
      <c r="H13" s="11">
        <v>41924802</v>
      </c>
      <c r="I13" s="12">
        <v>177746</v>
      </c>
      <c r="J13" s="40">
        <f t="shared" si="1"/>
        <v>4.0086056935939731E-4</v>
      </c>
      <c r="K13" s="11">
        <v>16806</v>
      </c>
      <c r="L13" s="6" t="b">
        <f t="shared" si="2"/>
        <v>0</v>
      </c>
      <c r="M13" s="11">
        <v>336</v>
      </c>
      <c r="N13" s="6" t="b">
        <f t="shared" si="4"/>
        <v>0</v>
      </c>
      <c r="O13" s="11">
        <v>60</v>
      </c>
      <c r="P13" s="6" t="b">
        <f t="shared" si="5"/>
        <v>0</v>
      </c>
      <c r="Q13" s="12">
        <v>204540</v>
      </c>
      <c r="R13" s="1">
        <f t="shared" si="6"/>
        <v>0</v>
      </c>
      <c r="S13" s="1">
        <f t="shared" si="7"/>
        <v>0</v>
      </c>
      <c r="T13" s="1">
        <f t="shared" si="8"/>
        <v>0</v>
      </c>
      <c r="U13" s="1">
        <f t="shared" si="9"/>
        <v>0</v>
      </c>
    </row>
    <row r="14" spans="1:21" ht="20" customHeight="1" x14ac:dyDescent="0.15">
      <c r="A14" s="8">
        <v>176</v>
      </c>
      <c r="B14" s="9" t="s">
        <v>42</v>
      </c>
      <c r="C14" s="41">
        <f t="shared" si="3"/>
        <v>44243</v>
      </c>
      <c r="D14" s="10" t="s">
        <v>26</v>
      </c>
      <c r="E14" s="36" t="str">
        <f t="shared" si="0"/>
        <v>banner_partner</v>
      </c>
      <c r="F14" s="10" t="s">
        <v>27</v>
      </c>
      <c r="G14" s="11">
        <v>39889</v>
      </c>
      <c r="H14" s="11">
        <v>56876855</v>
      </c>
      <c r="I14" s="12">
        <v>206424</v>
      </c>
      <c r="J14" s="40">
        <f t="shared" si="1"/>
        <v>5.9060930847881798E-4</v>
      </c>
      <c r="K14" s="11">
        <v>33592</v>
      </c>
      <c r="L14" s="6" t="b">
        <f t="shared" si="2"/>
        <v>0</v>
      </c>
      <c r="M14" s="11">
        <v>416</v>
      </c>
      <c r="N14" s="6" t="b">
        <f t="shared" si="4"/>
        <v>0</v>
      </c>
      <c r="O14" s="11">
        <v>62</v>
      </c>
      <c r="P14" s="6" t="b">
        <f t="shared" si="5"/>
        <v>0</v>
      </c>
      <c r="Q14" s="12">
        <v>246822</v>
      </c>
      <c r="R14" s="1">
        <f t="shared" si="6"/>
        <v>0</v>
      </c>
      <c r="S14" s="1">
        <f t="shared" si="7"/>
        <v>0</v>
      </c>
      <c r="T14" s="1">
        <f t="shared" si="8"/>
        <v>0</v>
      </c>
      <c r="U14" s="1">
        <f t="shared" si="9"/>
        <v>0</v>
      </c>
    </row>
    <row r="15" spans="1:21" ht="20" customHeight="1" x14ac:dyDescent="0.15">
      <c r="A15" s="8">
        <v>77</v>
      </c>
      <c r="B15" s="9" t="s">
        <v>33</v>
      </c>
      <c r="C15" s="41">
        <f t="shared" si="3"/>
        <v>44234</v>
      </c>
      <c r="D15" s="10" t="s">
        <v>26</v>
      </c>
      <c r="E15" s="36" t="str">
        <f t="shared" si="0"/>
        <v>banner_partner</v>
      </c>
      <c r="F15" s="10" t="s">
        <v>27</v>
      </c>
      <c r="G15" s="11">
        <v>39889</v>
      </c>
      <c r="H15" s="11">
        <v>3957603</v>
      </c>
      <c r="I15" s="12">
        <v>79987.7</v>
      </c>
      <c r="J15" s="40">
        <f t="shared" si="1"/>
        <v>1.0620064720993996E-3</v>
      </c>
      <c r="K15" s="11">
        <v>4203</v>
      </c>
      <c r="L15" s="6" t="b">
        <f t="shared" si="2"/>
        <v>0</v>
      </c>
      <c r="M15" s="11">
        <v>142</v>
      </c>
      <c r="N15" s="6" t="b">
        <f t="shared" si="4"/>
        <v>0</v>
      </c>
      <c r="O15" s="11">
        <v>27</v>
      </c>
      <c r="P15" s="6" t="b">
        <f t="shared" si="5"/>
        <v>0</v>
      </c>
      <c r="Q15" s="12">
        <v>90504</v>
      </c>
      <c r="R15" s="1">
        <f t="shared" si="6"/>
        <v>0</v>
      </c>
      <c r="S15" s="1">
        <f t="shared" si="7"/>
        <v>0</v>
      </c>
      <c r="T15" s="1">
        <f t="shared" si="8"/>
        <v>0</v>
      </c>
      <c r="U15" s="1">
        <f t="shared" si="9"/>
        <v>0</v>
      </c>
    </row>
    <row r="16" spans="1:21" ht="20" customHeight="1" x14ac:dyDescent="0.15">
      <c r="A16" s="8">
        <v>99</v>
      </c>
      <c r="B16" s="9" t="s">
        <v>35</v>
      </c>
      <c r="C16" s="41">
        <f t="shared" si="3"/>
        <v>44236</v>
      </c>
      <c r="D16" s="10" t="s">
        <v>26</v>
      </c>
      <c r="E16" s="36" t="str">
        <f t="shared" si="0"/>
        <v>banner_partner</v>
      </c>
      <c r="F16" s="10" t="s">
        <v>27</v>
      </c>
      <c r="G16" s="11">
        <v>39889</v>
      </c>
      <c r="H16" s="11">
        <v>3736884</v>
      </c>
      <c r="I16" s="12">
        <v>44731.7</v>
      </c>
      <c r="J16" s="40">
        <f t="shared" si="1"/>
        <v>1.121255034943552E-3</v>
      </c>
      <c r="K16" s="11">
        <v>4190</v>
      </c>
      <c r="L16" s="6" t="b">
        <f t="shared" si="2"/>
        <v>0</v>
      </c>
      <c r="M16" s="11">
        <v>84</v>
      </c>
      <c r="N16" s="6" t="b">
        <f t="shared" si="4"/>
        <v>0</v>
      </c>
      <c r="O16" s="11">
        <v>13</v>
      </c>
      <c r="P16" s="6" t="b">
        <f t="shared" si="5"/>
        <v>0</v>
      </c>
      <c r="Q16" s="12">
        <v>51259</v>
      </c>
      <c r="R16" s="1">
        <f t="shared" si="6"/>
        <v>0</v>
      </c>
      <c r="S16" s="1">
        <f t="shared" si="7"/>
        <v>0</v>
      </c>
      <c r="T16" s="1">
        <f t="shared" si="8"/>
        <v>0</v>
      </c>
      <c r="U16" s="1">
        <f t="shared" si="9"/>
        <v>0</v>
      </c>
    </row>
    <row r="17" spans="1:21" ht="20" customHeight="1" x14ac:dyDescent="0.15">
      <c r="A17" s="8">
        <v>287</v>
      </c>
      <c r="B17" s="9" t="s">
        <v>53</v>
      </c>
      <c r="C17" s="41">
        <f t="shared" si="3"/>
        <v>44254</v>
      </c>
      <c r="D17" s="10" t="s">
        <v>13</v>
      </c>
      <c r="E17" s="36" t="str">
        <f t="shared" si="0"/>
        <v>facebook_tier1</v>
      </c>
      <c r="F17" s="10" t="s">
        <v>14</v>
      </c>
      <c r="G17" s="11">
        <v>349043</v>
      </c>
      <c r="H17" s="11">
        <v>213771</v>
      </c>
      <c r="I17" s="13">
        <v>5003.33</v>
      </c>
      <c r="J17" s="40">
        <f t="shared" si="1"/>
        <v>1.1273746205051199E-3</v>
      </c>
      <c r="K17" s="11">
        <v>241</v>
      </c>
      <c r="L17" s="6" t="b">
        <f t="shared" si="2"/>
        <v>0</v>
      </c>
      <c r="M17" s="11">
        <v>9</v>
      </c>
      <c r="N17" s="6" t="b">
        <f t="shared" si="4"/>
        <v>0</v>
      </c>
      <c r="O17" s="11">
        <v>1</v>
      </c>
      <c r="P17" s="6" t="b">
        <f t="shared" si="5"/>
        <v>0</v>
      </c>
      <c r="Q17" s="12">
        <v>4223</v>
      </c>
      <c r="R17" s="1">
        <f t="shared" si="6"/>
        <v>0</v>
      </c>
      <c r="S17" s="1">
        <f t="shared" si="7"/>
        <v>0</v>
      </c>
      <c r="T17" s="1">
        <f t="shared" si="8"/>
        <v>0</v>
      </c>
      <c r="U17" s="1">
        <f t="shared" si="9"/>
        <v>0</v>
      </c>
    </row>
    <row r="18" spans="1:21" ht="20" customHeight="1" x14ac:dyDescent="0.15">
      <c r="A18" s="8">
        <v>143</v>
      </c>
      <c r="B18" s="9" t="s">
        <v>39</v>
      </c>
      <c r="C18" s="41">
        <f t="shared" si="3"/>
        <v>44240</v>
      </c>
      <c r="D18" s="10" t="s">
        <v>26</v>
      </c>
      <c r="E18" s="36" t="str">
        <f t="shared" si="0"/>
        <v>banner_partner</v>
      </c>
      <c r="F18" s="10" t="s">
        <v>27</v>
      </c>
      <c r="G18" s="11">
        <v>39889</v>
      </c>
      <c r="H18" s="11">
        <v>17890507</v>
      </c>
      <c r="I18" s="12">
        <v>390105</v>
      </c>
      <c r="J18" s="40">
        <f t="shared" si="1"/>
        <v>1.173415599680881E-3</v>
      </c>
      <c r="K18" s="11">
        <v>20993</v>
      </c>
      <c r="L18" s="6" t="b">
        <f t="shared" si="2"/>
        <v>0</v>
      </c>
      <c r="M18" s="11">
        <v>734</v>
      </c>
      <c r="N18" s="6" t="b">
        <f t="shared" si="4"/>
        <v>0</v>
      </c>
      <c r="O18" s="11">
        <v>118</v>
      </c>
      <c r="P18" s="6" t="b">
        <f t="shared" si="5"/>
        <v>0</v>
      </c>
      <c r="Q18" s="12">
        <v>353174</v>
      </c>
      <c r="R18" s="1">
        <f t="shared" si="6"/>
        <v>0</v>
      </c>
      <c r="S18" s="1">
        <f t="shared" si="7"/>
        <v>0</v>
      </c>
      <c r="T18" s="1">
        <f t="shared" si="8"/>
        <v>0</v>
      </c>
      <c r="U18" s="1">
        <f t="shared" si="9"/>
        <v>0</v>
      </c>
    </row>
    <row r="19" spans="1:21" ht="20" customHeight="1" x14ac:dyDescent="0.15">
      <c r="A19" s="8">
        <v>237</v>
      </c>
      <c r="B19" s="9" t="s">
        <v>48</v>
      </c>
      <c r="C19" s="41">
        <f t="shared" si="3"/>
        <v>44249</v>
      </c>
      <c r="D19" s="10" t="s">
        <v>21</v>
      </c>
      <c r="E19" s="36" t="str">
        <f t="shared" si="0"/>
        <v>instagram_tier1</v>
      </c>
      <c r="F19" s="10" t="s">
        <v>14</v>
      </c>
      <c r="G19" s="11">
        <v>9034945</v>
      </c>
      <c r="H19" s="11">
        <v>4565811</v>
      </c>
      <c r="I19" s="12">
        <v>33474.699999999997</v>
      </c>
      <c r="J19" s="40">
        <f t="shared" si="1"/>
        <v>1.1820463002082215E-3</v>
      </c>
      <c r="K19" s="11">
        <v>5397</v>
      </c>
      <c r="L19" s="6" t="b">
        <f t="shared" si="2"/>
        <v>0</v>
      </c>
      <c r="M19" s="11">
        <v>108</v>
      </c>
      <c r="N19" s="6" t="b">
        <f t="shared" si="4"/>
        <v>0</v>
      </c>
      <c r="O19" s="11">
        <v>9</v>
      </c>
      <c r="P19" s="6" t="b">
        <f t="shared" si="5"/>
        <v>0</v>
      </c>
      <c r="Q19" s="12">
        <v>53829</v>
      </c>
      <c r="R19" s="1">
        <f t="shared" si="6"/>
        <v>0</v>
      </c>
      <c r="S19" s="1">
        <f t="shared" si="7"/>
        <v>0</v>
      </c>
      <c r="T19" s="1">
        <f t="shared" si="8"/>
        <v>0</v>
      </c>
      <c r="U19" s="1">
        <f t="shared" si="9"/>
        <v>0</v>
      </c>
    </row>
    <row r="20" spans="1:21" ht="20" customHeight="1" x14ac:dyDescent="0.15">
      <c r="A20" s="8">
        <v>48</v>
      </c>
      <c r="B20" s="9" t="s">
        <v>31</v>
      </c>
      <c r="C20" s="41">
        <f t="shared" si="3"/>
        <v>44232</v>
      </c>
      <c r="D20" s="10" t="s">
        <v>18</v>
      </c>
      <c r="E20" s="36" t="str">
        <f t="shared" si="0"/>
        <v>google_wide</v>
      </c>
      <c r="F20" s="10" t="s">
        <v>17</v>
      </c>
      <c r="G20" s="11">
        <v>127823</v>
      </c>
      <c r="H20" s="11">
        <v>9914040</v>
      </c>
      <c r="I20" s="12">
        <v>56875.199999999997</v>
      </c>
      <c r="J20" s="40">
        <f t="shared" si="1"/>
        <v>1.2096985688982494E-3</v>
      </c>
      <c r="K20" s="11">
        <v>11993</v>
      </c>
      <c r="L20" s="6" t="b">
        <f t="shared" si="2"/>
        <v>0</v>
      </c>
      <c r="M20" s="11">
        <v>139</v>
      </c>
      <c r="N20" s="6" t="b">
        <f t="shared" si="4"/>
        <v>0</v>
      </c>
      <c r="O20" s="11">
        <v>14</v>
      </c>
      <c r="P20" s="6" t="b">
        <f t="shared" si="5"/>
        <v>0</v>
      </c>
      <c r="Q20" s="12">
        <v>49644</v>
      </c>
      <c r="R20" s="1">
        <f t="shared" si="6"/>
        <v>0</v>
      </c>
      <c r="S20" s="1">
        <f t="shared" si="7"/>
        <v>0</v>
      </c>
      <c r="T20" s="1">
        <f t="shared" si="8"/>
        <v>0</v>
      </c>
      <c r="U20" s="1">
        <f t="shared" si="9"/>
        <v>0</v>
      </c>
    </row>
    <row r="21" spans="1:21" ht="20" customHeight="1" x14ac:dyDescent="0.15">
      <c r="A21" s="8">
        <v>243</v>
      </c>
      <c r="B21" s="9" t="s">
        <v>49</v>
      </c>
      <c r="C21" s="41">
        <f t="shared" si="3"/>
        <v>44250</v>
      </c>
      <c r="D21" s="10" t="s">
        <v>13</v>
      </c>
      <c r="E21" s="36" t="str">
        <f t="shared" si="0"/>
        <v>facebook_tier1</v>
      </c>
      <c r="F21" s="10" t="s">
        <v>14</v>
      </c>
      <c r="G21" s="11">
        <v>349043</v>
      </c>
      <c r="H21" s="11">
        <v>924525</v>
      </c>
      <c r="I21" s="13">
        <v>9858.2800000000007</v>
      </c>
      <c r="J21" s="40">
        <f t="shared" si="1"/>
        <v>1.3012087288066846E-3</v>
      </c>
      <c r="K21" s="11">
        <v>1203</v>
      </c>
      <c r="L21" s="6" t="b">
        <f t="shared" si="2"/>
        <v>0</v>
      </c>
      <c r="M21" s="11">
        <v>28</v>
      </c>
      <c r="N21" s="6" t="b">
        <f t="shared" si="4"/>
        <v>0</v>
      </c>
      <c r="O21" s="11">
        <v>2</v>
      </c>
      <c r="P21" s="6" t="b">
        <f t="shared" si="5"/>
        <v>0</v>
      </c>
      <c r="Q21" s="12">
        <v>9962</v>
      </c>
      <c r="R21" s="1">
        <f t="shared" si="6"/>
        <v>0</v>
      </c>
      <c r="S21" s="1">
        <f t="shared" si="7"/>
        <v>0</v>
      </c>
      <c r="T21" s="1">
        <f t="shared" si="8"/>
        <v>0</v>
      </c>
      <c r="U21" s="1">
        <f t="shared" si="9"/>
        <v>0</v>
      </c>
    </row>
    <row r="22" spans="1:21" ht="20" customHeight="1" x14ac:dyDescent="0.15">
      <c r="A22" s="8">
        <v>304</v>
      </c>
      <c r="B22" s="9" t="s">
        <v>54</v>
      </c>
      <c r="C22" s="41">
        <f t="shared" si="3"/>
        <v>44255</v>
      </c>
      <c r="D22" s="10" t="s">
        <v>22</v>
      </c>
      <c r="E22" s="36" t="str">
        <f t="shared" si="0"/>
        <v>instagram_tier2</v>
      </c>
      <c r="F22" s="10" t="s">
        <v>14</v>
      </c>
      <c r="G22" s="11">
        <v>983498</v>
      </c>
      <c r="H22" s="11">
        <v>775780</v>
      </c>
      <c r="I22" s="13">
        <v>760.75</v>
      </c>
      <c r="J22" s="40">
        <f t="shared" si="1"/>
        <v>1.3199618448529221E-3</v>
      </c>
      <c r="K22" s="11">
        <v>1024</v>
      </c>
      <c r="L22" s="6" t="b">
        <f t="shared" si="2"/>
        <v>0</v>
      </c>
      <c r="M22" s="11">
        <v>4</v>
      </c>
      <c r="N22" s="6" t="b">
        <f t="shared" si="4"/>
        <v>0</v>
      </c>
      <c r="O22" s="11">
        <v>0</v>
      </c>
      <c r="P22" s="6" t="b">
        <f t="shared" si="5"/>
        <v>0</v>
      </c>
      <c r="Q22" s="12">
        <v>0</v>
      </c>
      <c r="R22" s="1">
        <f t="shared" si="6"/>
        <v>0</v>
      </c>
      <c r="S22" s="1">
        <f t="shared" si="7"/>
        <v>0</v>
      </c>
      <c r="T22" s="1">
        <f t="shared" si="8"/>
        <v>0</v>
      </c>
      <c r="U22" s="1">
        <f t="shared" si="9"/>
        <v>0</v>
      </c>
    </row>
    <row r="23" spans="1:21" ht="20" customHeight="1" x14ac:dyDescent="0.15">
      <c r="A23" s="8">
        <v>183</v>
      </c>
      <c r="B23" s="9" t="s">
        <v>43</v>
      </c>
      <c r="C23" s="41">
        <f t="shared" si="3"/>
        <v>44244</v>
      </c>
      <c r="D23" s="10" t="s">
        <v>22</v>
      </c>
      <c r="E23" s="36" t="str">
        <f t="shared" si="0"/>
        <v>instagram_tier2</v>
      </c>
      <c r="F23" s="10" t="s">
        <v>14</v>
      </c>
      <c r="G23" s="11">
        <v>983498</v>
      </c>
      <c r="H23" s="11">
        <v>32964848</v>
      </c>
      <c r="I23" s="12">
        <v>162819</v>
      </c>
      <c r="J23" s="40">
        <f t="shared" si="1"/>
        <v>1.3926046314546938E-3</v>
      </c>
      <c r="K23" s="11">
        <v>45907</v>
      </c>
      <c r="L23" s="6" t="b">
        <f t="shared" si="2"/>
        <v>0</v>
      </c>
      <c r="M23" s="11">
        <v>974</v>
      </c>
      <c r="N23" s="6" t="b">
        <f t="shared" si="4"/>
        <v>0</v>
      </c>
      <c r="O23" s="11">
        <v>46</v>
      </c>
      <c r="P23" s="6" t="b">
        <f t="shared" si="5"/>
        <v>0</v>
      </c>
      <c r="Q23" s="12">
        <v>121900</v>
      </c>
      <c r="R23" s="1">
        <f t="shared" si="6"/>
        <v>0</v>
      </c>
      <c r="S23" s="1">
        <f t="shared" si="7"/>
        <v>0</v>
      </c>
      <c r="T23" s="1">
        <f t="shared" si="8"/>
        <v>0</v>
      </c>
      <c r="U23" s="1">
        <f t="shared" si="9"/>
        <v>0</v>
      </c>
    </row>
    <row r="24" spans="1:21" ht="20" customHeight="1" x14ac:dyDescent="0.15">
      <c r="A24" s="8">
        <v>105</v>
      </c>
      <c r="B24" s="9" t="s">
        <v>36</v>
      </c>
      <c r="C24" s="41">
        <f t="shared" si="3"/>
        <v>44237</v>
      </c>
      <c r="D24" s="10" t="s">
        <v>21</v>
      </c>
      <c r="E24" s="36" t="str">
        <f t="shared" si="0"/>
        <v>instagram_tier1</v>
      </c>
      <c r="F24" s="10" t="s">
        <v>14</v>
      </c>
      <c r="G24" s="11">
        <v>9034945</v>
      </c>
      <c r="H24" s="11">
        <v>3858193</v>
      </c>
      <c r="I24" s="12">
        <v>38890.300000000003</v>
      </c>
      <c r="J24" s="40">
        <f t="shared" si="1"/>
        <v>1.4011740729403636E-3</v>
      </c>
      <c r="K24" s="11">
        <v>5406</v>
      </c>
      <c r="L24" s="6" t="b">
        <f t="shared" si="2"/>
        <v>0</v>
      </c>
      <c r="M24" s="11">
        <v>186</v>
      </c>
      <c r="N24" s="6" t="b">
        <f t="shared" si="4"/>
        <v>0</v>
      </c>
      <c r="O24" s="11">
        <v>14</v>
      </c>
      <c r="P24" s="6" t="b">
        <f t="shared" si="5"/>
        <v>0</v>
      </c>
      <c r="Q24" s="12">
        <v>83734</v>
      </c>
      <c r="R24" s="1">
        <f t="shared" si="6"/>
        <v>0</v>
      </c>
      <c r="S24" s="1">
        <f t="shared" si="7"/>
        <v>0</v>
      </c>
      <c r="T24" s="1">
        <f t="shared" si="8"/>
        <v>0</v>
      </c>
      <c r="U24" s="1">
        <f t="shared" si="9"/>
        <v>0</v>
      </c>
    </row>
    <row r="25" spans="1:21" ht="20" customHeight="1" x14ac:dyDescent="0.15">
      <c r="A25" s="8">
        <v>264</v>
      </c>
      <c r="B25" s="9" t="s">
        <v>50</v>
      </c>
      <c r="C25" s="41">
        <f t="shared" si="3"/>
        <v>44251</v>
      </c>
      <c r="D25" s="10" t="s">
        <v>26</v>
      </c>
      <c r="E25" s="36" t="str">
        <f t="shared" si="0"/>
        <v>banner_partner</v>
      </c>
      <c r="F25" s="10" t="s">
        <v>27</v>
      </c>
      <c r="G25" s="11">
        <v>39889</v>
      </c>
      <c r="H25" s="11">
        <v>2770687</v>
      </c>
      <c r="I25" s="12">
        <v>34169.9</v>
      </c>
      <c r="J25" s="40">
        <f t="shared" si="1"/>
        <v>1.5176741364145427E-3</v>
      </c>
      <c r="K25" s="11">
        <v>4205</v>
      </c>
      <c r="L25" s="6" t="b">
        <f t="shared" si="2"/>
        <v>0</v>
      </c>
      <c r="M25" s="11">
        <v>84</v>
      </c>
      <c r="N25" s="6" t="b">
        <f t="shared" si="4"/>
        <v>0</v>
      </c>
      <c r="O25" s="11">
        <v>16</v>
      </c>
      <c r="P25" s="6" t="b">
        <f t="shared" si="5"/>
        <v>0</v>
      </c>
      <c r="Q25" s="12">
        <v>63696</v>
      </c>
      <c r="R25" s="1">
        <f t="shared" si="6"/>
        <v>0</v>
      </c>
      <c r="S25" s="1">
        <f t="shared" si="7"/>
        <v>0</v>
      </c>
      <c r="T25" s="1">
        <f t="shared" si="8"/>
        <v>0</v>
      </c>
      <c r="U25" s="1">
        <f t="shared" si="9"/>
        <v>0</v>
      </c>
    </row>
    <row r="26" spans="1:21" ht="20" customHeight="1" x14ac:dyDescent="0.15">
      <c r="A26" s="8">
        <v>132</v>
      </c>
      <c r="B26" s="9" t="s">
        <v>38</v>
      </c>
      <c r="C26" s="41">
        <f t="shared" si="3"/>
        <v>44239</v>
      </c>
      <c r="D26" s="10" t="s">
        <v>26</v>
      </c>
      <c r="E26" s="36" t="str">
        <f t="shared" si="0"/>
        <v>banner_partner</v>
      </c>
      <c r="F26" s="10" t="s">
        <v>27</v>
      </c>
      <c r="G26" s="11">
        <v>39889</v>
      </c>
      <c r="H26" s="11">
        <v>10819771</v>
      </c>
      <c r="I26" s="12">
        <v>145201</v>
      </c>
      <c r="J26" s="40">
        <f t="shared" si="1"/>
        <v>1.5534524714062802E-3</v>
      </c>
      <c r="K26" s="11">
        <v>16808</v>
      </c>
      <c r="L26" s="6" t="b">
        <f t="shared" si="2"/>
        <v>0</v>
      </c>
      <c r="M26" s="11">
        <v>336</v>
      </c>
      <c r="N26" s="6" t="b">
        <f t="shared" si="4"/>
        <v>0</v>
      </c>
      <c r="O26" s="11">
        <v>49</v>
      </c>
      <c r="P26" s="6" t="b">
        <f t="shared" si="5"/>
        <v>0</v>
      </c>
      <c r="Q26" s="12">
        <v>195069</v>
      </c>
      <c r="R26" s="1">
        <f t="shared" si="6"/>
        <v>0</v>
      </c>
      <c r="S26" s="1">
        <f t="shared" si="7"/>
        <v>0</v>
      </c>
      <c r="T26" s="1">
        <f t="shared" si="8"/>
        <v>0</v>
      </c>
      <c r="U26" s="1">
        <f t="shared" si="9"/>
        <v>0</v>
      </c>
    </row>
    <row r="27" spans="1:21" ht="20" customHeight="1" x14ac:dyDescent="0.15">
      <c r="A27" s="8">
        <v>110</v>
      </c>
      <c r="B27" s="9" t="s">
        <v>36</v>
      </c>
      <c r="C27" s="41">
        <f t="shared" si="3"/>
        <v>44237</v>
      </c>
      <c r="D27" s="10" t="s">
        <v>26</v>
      </c>
      <c r="E27" s="36" t="str">
        <f t="shared" si="0"/>
        <v>banner_partner</v>
      </c>
      <c r="F27" s="10" t="s">
        <v>27</v>
      </c>
      <c r="G27" s="11">
        <v>39889</v>
      </c>
      <c r="H27" s="11">
        <v>5219501</v>
      </c>
      <c r="I27" s="12">
        <v>179519</v>
      </c>
      <c r="J27" s="40">
        <f t="shared" si="1"/>
        <v>1.6076249434572385E-3</v>
      </c>
      <c r="K27" s="11">
        <v>8391</v>
      </c>
      <c r="L27" s="6" t="b">
        <f t="shared" si="2"/>
        <v>0</v>
      </c>
      <c r="M27" s="11">
        <v>302</v>
      </c>
      <c r="N27" s="6" t="b">
        <f t="shared" si="4"/>
        <v>0</v>
      </c>
      <c r="O27" s="11">
        <v>60</v>
      </c>
      <c r="P27" s="6" t="b">
        <f t="shared" si="5"/>
        <v>0</v>
      </c>
      <c r="Q27" s="12">
        <v>196680</v>
      </c>
      <c r="R27" s="1">
        <f t="shared" si="6"/>
        <v>0</v>
      </c>
      <c r="S27" s="1">
        <f t="shared" si="7"/>
        <v>0</v>
      </c>
      <c r="T27" s="1">
        <f t="shared" si="8"/>
        <v>0</v>
      </c>
      <c r="U27" s="1">
        <f t="shared" si="9"/>
        <v>0</v>
      </c>
    </row>
    <row r="28" spans="1:21" ht="20" customHeight="1" x14ac:dyDescent="0.15">
      <c r="A28" s="8">
        <v>26</v>
      </c>
      <c r="B28" s="9" t="s">
        <v>29</v>
      </c>
      <c r="C28" s="41">
        <f t="shared" si="3"/>
        <v>44230</v>
      </c>
      <c r="D28" s="10" t="s">
        <v>18</v>
      </c>
      <c r="E28" s="36" t="str">
        <f t="shared" si="0"/>
        <v>google_wide</v>
      </c>
      <c r="F28" s="10" t="s">
        <v>17</v>
      </c>
      <c r="G28" s="11">
        <v>127823</v>
      </c>
      <c r="H28" s="11">
        <v>4371854</v>
      </c>
      <c r="I28" s="12">
        <v>49498.9</v>
      </c>
      <c r="J28" s="40">
        <f t="shared" si="1"/>
        <v>1.6484996982973356E-3</v>
      </c>
      <c r="K28" s="11">
        <v>7207</v>
      </c>
      <c r="L28" s="6" t="b">
        <f t="shared" si="2"/>
        <v>0</v>
      </c>
      <c r="M28" s="11">
        <v>144</v>
      </c>
      <c r="N28" s="6" t="b">
        <f t="shared" si="4"/>
        <v>0</v>
      </c>
      <c r="O28" s="11">
        <v>13</v>
      </c>
      <c r="P28" s="6" t="b">
        <f t="shared" si="5"/>
        <v>0</v>
      </c>
      <c r="Q28" s="12">
        <v>38753</v>
      </c>
      <c r="R28" s="1">
        <f t="shared" si="6"/>
        <v>0</v>
      </c>
      <c r="S28" s="1">
        <f t="shared" si="7"/>
        <v>0</v>
      </c>
      <c r="T28" s="1">
        <f t="shared" si="8"/>
        <v>0</v>
      </c>
      <c r="U28" s="1">
        <f t="shared" si="9"/>
        <v>0</v>
      </c>
    </row>
    <row r="29" spans="1:21" ht="20" customHeight="1" x14ac:dyDescent="0.15">
      <c r="A29" s="8">
        <v>199</v>
      </c>
      <c r="B29" s="9" t="s">
        <v>45</v>
      </c>
      <c r="C29" s="41">
        <f t="shared" si="3"/>
        <v>44246</v>
      </c>
      <c r="D29" s="10" t="s">
        <v>13</v>
      </c>
      <c r="E29" s="36" t="str">
        <f t="shared" si="0"/>
        <v>facebook_tier1</v>
      </c>
      <c r="F29" s="10" t="s">
        <v>14</v>
      </c>
      <c r="G29" s="11">
        <v>349043</v>
      </c>
      <c r="H29" s="11">
        <v>15345139</v>
      </c>
      <c r="I29" s="12">
        <v>53253.9</v>
      </c>
      <c r="J29" s="40">
        <f t="shared" si="1"/>
        <v>1.7208706939702534E-3</v>
      </c>
      <c r="K29" s="11">
        <v>26407</v>
      </c>
      <c r="L29" s="6" t="b">
        <f t="shared" si="2"/>
        <v>0</v>
      </c>
      <c r="M29" s="11">
        <v>71</v>
      </c>
      <c r="N29" s="6" t="b">
        <f t="shared" si="4"/>
        <v>0</v>
      </c>
      <c r="O29" s="11">
        <v>10</v>
      </c>
      <c r="P29" s="6" t="b">
        <f t="shared" si="5"/>
        <v>0</v>
      </c>
      <c r="Q29" s="12">
        <v>44550</v>
      </c>
      <c r="R29" s="1">
        <f t="shared" si="6"/>
        <v>0</v>
      </c>
      <c r="S29" s="1">
        <f t="shared" si="7"/>
        <v>0</v>
      </c>
      <c r="T29" s="1">
        <f t="shared" si="8"/>
        <v>0</v>
      </c>
      <c r="U29" s="1">
        <f t="shared" si="9"/>
        <v>0</v>
      </c>
    </row>
    <row r="30" spans="1:21" ht="20" customHeight="1" x14ac:dyDescent="0.15">
      <c r="A30" s="8">
        <v>50</v>
      </c>
      <c r="B30" s="9" t="s">
        <v>31</v>
      </c>
      <c r="C30" s="41">
        <f t="shared" si="3"/>
        <v>44232</v>
      </c>
      <c r="D30" s="10" t="s">
        <v>21</v>
      </c>
      <c r="E30" s="36" t="str">
        <f t="shared" si="0"/>
        <v>instagram_tier1</v>
      </c>
      <c r="F30" s="10" t="s">
        <v>14</v>
      </c>
      <c r="G30" s="11">
        <v>9034945</v>
      </c>
      <c r="H30" s="11">
        <v>7485780</v>
      </c>
      <c r="I30" s="12">
        <v>258306</v>
      </c>
      <c r="J30" s="40">
        <f t="shared" si="1"/>
        <v>1.8031521097333879E-3</v>
      </c>
      <c r="K30" s="11">
        <v>13498</v>
      </c>
      <c r="L30" s="6" t="b">
        <f t="shared" si="2"/>
        <v>0</v>
      </c>
      <c r="M30" s="11">
        <v>526</v>
      </c>
      <c r="N30" s="6" t="b">
        <f t="shared" si="4"/>
        <v>0</v>
      </c>
      <c r="O30" s="11">
        <v>76</v>
      </c>
      <c r="P30" s="6" t="b">
        <f t="shared" si="5"/>
        <v>0</v>
      </c>
      <c r="Q30" s="12">
        <v>454556</v>
      </c>
      <c r="R30" s="1">
        <f t="shared" si="6"/>
        <v>0</v>
      </c>
      <c r="S30" s="1">
        <f t="shared" si="7"/>
        <v>0</v>
      </c>
      <c r="T30" s="1">
        <f t="shared" si="8"/>
        <v>0</v>
      </c>
      <c r="U30" s="1">
        <f t="shared" si="9"/>
        <v>0</v>
      </c>
    </row>
    <row r="31" spans="1:21" ht="20" customHeight="1" x14ac:dyDescent="0.15">
      <c r="A31" s="8">
        <v>88</v>
      </c>
      <c r="B31" s="9" t="s">
        <v>34</v>
      </c>
      <c r="C31" s="41">
        <f t="shared" si="3"/>
        <v>44235</v>
      </c>
      <c r="D31" s="10" t="s">
        <v>26</v>
      </c>
      <c r="E31" s="36" t="str">
        <f t="shared" si="0"/>
        <v>banner_partner</v>
      </c>
      <c r="F31" s="10" t="s">
        <v>27</v>
      </c>
      <c r="G31" s="11">
        <v>39889</v>
      </c>
      <c r="H31" s="11">
        <v>2233790</v>
      </c>
      <c r="I31" s="12">
        <v>31883.9</v>
      </c>
      <c r="J31" s="40">
        <f t="shared" si="1"/>
        <v>1.8788695445856594E-3</v>
      </c>
      <c r="K31" s="11">
        <v>4197</v>
      </c>
      <c r="L31" s="6" t="b">
        <f t="shared" si="2"/>
        <v>0</v>
      </c>
      <c r="M31" s="11">
        <v>84</v>
      </c>
      <c r="N31" s="6" t="b">
        <f t="shared" si="4"/>
        <v>0</v>
      </c>
      <c r="O31" s="11">
        <v>10</v>
      </c>
      <c r="P31" s="6" t="b">
        <f t="shared" si="5"/>
        <v>0</v>
      </c>
      <c r="Q31" s="12">
        <v>42280</v>
      </c>
      <c r="R31" s="1">
        <f t="shared" si="6"/>
        <v>0</v>
      </c>
      <c r="S31" s="1">
        <f t="shared" si="7"/>
        <v>0</v>
      </c>
      <c r="T31" s="1">
        <f t="shared" si="8"/>
        <v>0</v>
      </c>
      <c r="U31" s="1">
        <f t="shared" si="9"/>
        <v>0</v>
      </c>
    </row>
    <row r="32" spans="1:21" ht="20" customHeight="1" x14ac:dyDescent="0.15">
      <c r="A32" s="8">
        <v>220</v>
      </c>
      <c r="B32" s="9" t="s">
        <v>46</v>
      </c>
      <c r="C32" s="41">
        <f t="shared" si="3"/>
        <v>44247</v>
      </c>
      <c r="D32" s="10" t="s">
        <v>26</v>
      </c>
      <c r="E32" s="36" t="str">
        <f t="shared" si="0"/>
        <v>banner_partner</v>
      </c>
      <c r="F32" s="10" t="s">
        <v>27</v>
      </c>
      <c r="G32" s="11">
        <v>39889</v>
      </c>
      <c r="H32" s="11">
        <v>26012342</v>
      </c>
      <c r="I32" s="12">
        <v>750361</v>
      </c>
      <c r="J32" s="40">
        <f t="shared" si="1"/>
        <v>1.9378493485899886E-3</v>
      </c>
      <c r="K32" s="11">
        <v>50408</v>
      </c>
      <c r="L32" s="6" t="b">
        <f t="shared" si="2"/>
        <v>0</v>
      </c>
      <c r="M32" s="11">
        <v>1678</v>
      </c>
      <c r="N32" s="6" t="b">
        <f t="shared" si="4"/>
        <v>0</v>
      </c>
      <c r="O32" s="11">
        <v>252</v>
      </c>
      <c r="P32" s="6" t="b">
        <f t="shared" si="5"/>
        <v>0</v>
      </c>
      <c r="Q32" s="12">
        <v>1003210</v>
      </c>
      <c r="R32" s="1">
        <f t="shared" si="6"/>
        <v>0</v>
      </c>
      <c r="S32" s="1">
        <f t="shared" si="7"/>
        <v>0</v>
      </c>
      <c r="T32" s="1">
        <f t="shared" si="8"/>
        <v>0</v>
      </c>
      <c r="U32" s="1">
        <f t="shared" si="9"/>
        <v>0</v>
      </c>
    </row>
    <row r="33" spans="1:21" ht="20" customHeight="1" x14ac:dyDescent="0.15">
      <c r="A33" s="8">
        <v>70</v>
      </c>
      <c r="B33" s="9" t="s">
        <v>33</v>
      </c>
      <c r="C33" s="41">
        <f t="shared" si="3"/>
        <v>44234</v>
      </c>
      <c r="D33" s="10" t="s">
        <v>18</v>
      </c>
      <c r="E33" s="36" t="str">
        <f t="shared" si="0"/>
        <v>google_wide</v>
      </c>
      <c r="F33" s="10" t="s">
        <v>17</v>
      </c>
      <c r="G33" s="11">
        <v>127823</v>
      </c>
      <c r="H33" s="11">
        <v>1137473</v>
      </c>
      <c r="I33" s="12">
        <v>18102.099999999999</v>
      </c>
      <c r="J33" s="40">
        <f t="shared" si="1"/>
        <v>2.1134567589736197E-3</v>
      </c>
      <c r="K33" s="11">
        <v>2404</v>
      </c>
      <c r="L33" s="6" t="b">
        <f t="shared" si="2"/>
        <v>0</v>
      </c>
      <c r="M33" s="11">
        <v>48</v>
      </c>
      <c r="N33" s="6" t="b">
        <f t="shared" si="4"/>
        <v>0</v>
      </c>
      <c r="O33" s="11">
        <v>5</v>
      </c>
      <c r="P33" s="6" t="b">
        <f t="shared" si="5"/>
        <v>0</v>
      </c>
      <c r="Q33" s="12">
        <v>17845</v>
      </c>
      <c r="R33" s="1">
        <f t="shared" si="6"/>
        <v>0</v>
      </c>
      <c r="S33" s="1">
        <f t="shared" si="7"/>
        <v>0</v>
      </c>
      <c r="T33" s="1">
        <f t="shared" si="8"/>
        <v>0</v>
      </c>
      <c r="U33" s="1">
        <f t="shared" si="9"/>
        <v>0</v>
      </c>
    </row>
    <row r="34" spans="1:21" ht="20" customHeight="1" x14ac:dyDescent="0.15">
      <c r="A34" s="8">
        <v>72</v>
      </c>
      <c r="B34" s="9" t="s">
        <v>33</v>
      </c>
      <c r="C34" s="41">
        <f t="shared" si="3"/>
        <v>44234</v>
      </c>
      <c r="D34" s="10" t="s">
        <v>21</v>
      </c>
      <c r="E34" s="36" t="str">
        <f t="shared" si="0"/>
        <v>instagram_tier1</v>
      </c>
      <c r="F34" s="10" t="s">
        <v>14</v>
      </c>
      <c r="G34" s="11">
        <v>9034945</v>
      </c>
      <c r="H34" s="11">
        <v>1246126</v>
      </c>
      <c r="I34" s="12">
        <v>37965.9</v>
      </c>
      <c r="J34" s="40">
        <f t="shared" si="1"/>
        <v>2.1635051351147475E-3</v>
      </c>
      <c r="K34" s="11">
        <v>2696</v>
      </c>
      <c r="L34" s="6" t="b">
        <f t="shared" si="2"/>
        <v>0</v>
      </c>
      <c r="M34" s="11">
        <v>100</v>
      </c>
      <c r="N34" s="6" t="b">
        <f t="shared" si="4"/>
        <v>0</v>
      </c>
      <c r="O34" s="11">
        <v>11</v>
      </c>
      <c r="P34" s="6" t="b">
        <f t="shared" si="5"/>
        <v>0</v>
      </c>
      <c r="Q34" s="12">
        <v>65791</v>
      </c>
      <c r="R34" s="1">
        <f t="shared" si="6"/>
        <v>0</v>
      </c>
      <c r="S34" s="1">
        <f t="shared" si="7"/>
        <v>0</v>
      </c>
      <c r="T34" s="1">
        <f t="shared" si="8"/>
        <v>0</v>
      </c>
      <c r="U34" s="1">
        <f t="shared" si="9"/>
        <v>0</v>
      </c>
    </row>
    <row r="35" spans="1:21" ht="20" customHeight="1" x14ac:dyDescent="0.15">
      <c r="A35" s="8">
        <v>112</v>
      </c>
      <c r="B35" s="9" t="s">
        <v>37</v>
      </c>
      <c r="C35" s="41">
        <f t="shared" si="3"/>
        <v>44238</v>
      </c>
      <c r="D35" s="10" t="s">
        <v>15</v>
      </c>
      <c r="E35" s="36" t="str">
        <f t="shared" si="0"/>
        <v>facebook_tier2</v>
      </c>
      <c r="F35" s="10" t="s">
        <v>14</v>
      </c>
      <c r="G35" s="11">
        <v>348934</v>
      </c>
      <c r="H35" s="11">
        <v>4564542</v>
      </c>
      <c r="I35" s="12">
        <v>188516</v>
      </c>
      <c r="J35" s="40">
        <f t="shared" si="1"/>
        <v>2.1677969005433621E-3</v>
      </c>
      <c r="K35" s="11">
        <v>9895</v>
      </c>
      <c r="L35" s="6" t="b">
        <f t="shared" si="2"/>
        <v>0</v>
      </c>
      <c r="M35" s="11">
        <v>304</v>
      </c>
      <c r="N35" s="6" t="b">
        <f t="shared" si="4"/>
        <v>0</v>
      </c>
      <c r="O35" s="11">
        <v>28</v>
      </c>
      <c r="P35" s="6" t="b">
        <f t="shared" si="5"/>
        <v>0</v>
      </c>
      <c r="Q35" s="12">
        <v>131068</v>
      </c>
      <c r="R35" s="1">
        <f t="shared" si="6"/>
        <v>0</v>
      </c>
      <c r="S35" s="1">
        <f t="shared" si="7"/>
        <v>0</v>
      </c>
      <c r="T35" s="1">
        <f t="shared" si="8"/>
        <v>0</v>
      </c>
      <c r="U35" s="1">
        <f t="shared" si="9"/>
        <v>0</v>
      </c>
    </row>
    <row r="36" spans="1:21" ht="20" customHeight="1" x14ac:dyDescent="0.15">
      <c r="A36" s="8">
        <v>191</v>
      </c>
      <c r="B36" s="9" t="s">
        <v>44</v>
      </c>
      <c r="C36" s="41">
        <f t="shared" si="3"/>
        <v>44245</v>
      </c>
      <c r="D36" s="10" t="s">
        <v>18</v>
      </c>
      <c r="E36" s="36" t="str">
        <f t="shared" si="0"/>
        <v>google_wide</v>
      </c>
      <c r="F36" s="10" t="s">
        <v>17</v>
      </c>
      <c r="G36" s="11">
        <v>127823</v>
      </c>
      <c r="H36" s="11">
        <v>10593685</v>
      </c>
      <c r="I36" s="12">
        <v>200986</v>
      </c>
      <c r="J36" s="40">
        <f t="shared" si="1"/>
        <v>2.2659726053776376E-3</v>
      </c>
      <c r="K36" s="11">
        <v>24005</v>
      </c>
      <c r="L36" s="6" t="b">
        <f t="shared" si="2"/>
        <v>0</v>
      </c>
      <c r="M36" s="11">
        <v>480</v>
      </c>
      <c r="N36" s="6" t="b">
        <f t="shared" si="4"/>
        <v>0</v>
      </c>
      <c r="O36" s="11">
        <v>43</v>
      </c>
      <c r="P36" s="6" t="b">
        <f t="shared" ref="P36:P67" si="10">(O35)&gt;(M35)</f>
        <v>0</v>
      </c>
      <c r="Q36" s="12">
        <v>93353</v>
      </c>
      <c r="R36" s="1">
        <f t="shared" si="6"/>
        <v>0</v>
      </c>
      <c r="S36" s="1">
        <f t="shared" si="7"/>
        <v>0</v>
      </c>
      <c r="T36" s="1">
        <f t="shared" si="8"/>
        <v>0</v>
      </c>
      <c r="U36" s="1">
        <f t="shared" si="9"/>
        <v>0</v>
      </c>
    </row>
    <row r="37" spans="1:21" ht="20" customHeight="1" x14ac:dyDescent="0.15">
      <c r="A37" s="8">
        <v>187</v>
      </c>
      <c r="B37" s="9" t="s">
        <v>43</v>
      </c>
      <c r="C37" s="41">
        <f t="shared" si="3"/>
        <v>44244</v>
      </c>
      <c r="D37" s="10" t="s">
        <v>26</v>
      </c>
      <c r="E37" s="36" t="str">
        <f t="shared" si="0"/>
        <v>banner_partner</v>
      </c>
      <c r="F37" s="10" t="s">
        <v>27</v>
      </c>
      <c r="G37" s="11">
        <v>39889</v>
      </c>
      <c r="H37" s="11">
        <v>16553044</v>
      </c>
      <c r="I37" s="12">
        <v>523398</v>
      </c>
      <c r="J37" s="40">
        <f t="shared" si="1"/>
        <v>2.2838699637359751E-3</v>
      </c>
      <c r="K37" s="11">
        <v>37805</v>
      </c>
      <c r="L37" s="6" t="b">
        <f t="shared" si="2"/>
        <v>0</v>
      </c>
      <c r="M37" s="11">
        <v>756</v>
      </c>
      <c r="N37" s="6" t="b">
        <f t="shared" si="4"/>
        <v>0</v>
      </c>
      <c r="O37" s="11">
        <v>142</v>
      </c>
      <c r="P37" s="6" t="b">
        <f t="shared" si="10"/>
        <v>0</v>
      </c>
      <c r="Q37" s="12">
        <v>565302</v>
      </c>
      <c r="R37" s="1">
        <f t="shared" si="6"/>
        <v>0</v>
      </c>
      <c r="S37" s="1">
        <f t="shared" si="7"/>
        <v>0</v>
      </c>
      <c r="T37" s="1">
        <f t="shared" si="8"/>
        <v>0</v>
      </c>
      <c r="U37" s="1">
        <f t="shared" si="9"/>
        <v>0</v>
      </c>
    </row>
    <row r="38" spans="1:21" ht="20" customHeight="1" x14ac:dyDescent="0.15">
      <c r="A38" s="8">
        <v>297</v>
      </c>
      <c r="B38" s="9" t="s">
        <v>53</v>
      </c>
      <c r="C38" s="41">
        <f t="shared" si="3"/>
        <v>44254</v>
      </c>
      <c r="D38" s="10" t="s">
        <v>26</v>
      </c>
      <c r="E38" s="36" t="str">
        <f t="shared" si="0"/>
        <v>banner_partner</v>
      </c>
      <c r="F38" s="10" t="s">
        <v>27</v>
      </c>
      <c r="G38" s="11">
        <v>39889</v>
      </c>
      <c r="H38" s="11">
        <v>182546</v>
      </c>
      <c r="I38" s="13">
        <v>2791.06</v>
      </c>
      <c r="J38" s="40">
        <f t="shared" si="1"/>
        <v>2.3336583655626528E-3</v>
      </c>
      <c r="K38" s="11">
        <v>426</v>
      </c>
      <c r="L38" s="6" t="b">
        <f t="shared" si="2"/>
        <v>0</v>
      </c>
      <c r="M38" s="11">
        <v>9</v>
      </c>
      <c r="N38" s="6" t="b">
        <f t="shared" si="4"/>
        <v>0</v>
      </c>
      <c r="O38" s="11">
        <v>1</v>
      </c>
      <c r="P38" s="6" t="b">
        <f t="shared" si="10"/>
        <v>0</v>
      </c>
      <c r="Q38" s="12">
        <v>3981</v>
      </c>
      <c r="R38" s="1">
        <f t="shared" si="6"/>
        <v>0</v>
      </c>
      <c r="S38" s="1">
        <f t="shared" si="7"/>
        <v>0</v>
      </c>
      <c r="T38" s="1">
        <f t="shared" si="8"/>
        <v>0</v>
      </c>
      <c r="U38" s="1">
        <f t="shared" si="9"/>
        <v>0</v>
      </c>
    </row>
    <row r="39" spans="1:21" ht="20" customHeight="1" x14ac:dyDescent="0.15">
      <c r="A39" s="8">
        <v>193</v>
      </c>
      <c r="B39" s="9" t="s">
        <v>44</v>
      </c>
      <c r="C39" s="41">
        <f t="shared" si="3"/>
        <v>44245</v>
      </c>
      <c r="D39" s="10" t="s">
        <v>21</v>
      </c>
      <c r="E39" s="36" t="str">
        <f t="shared" si="0"/>
        <v>instagram_tier1</v>
      </c>
      <c r="F39" s="10" t="s">
        <v>14</v>
      </c>
      <c r="G39" s="11">
        <v>9034945</v>
      </c>
      <c r="H39" s="11">
        <v>11212959</v>
      </c>
      <c r="I39" s="12">
        <v>241388</v>
      </c>
      <c r="J39" s="40">
        <f t="shared" si="1"/>
        <v>2.4087308265374019E-3</v>
      </c>
      <c r="K39" s="11">
        <v>27009</v>
      </c>
      <c r="L39" s="6" t="b">
        <f t="shared" si="2"/>
        <v>0</v>
      </c>
      <c r="M39" s="11">
        <v>599</v>
      </c>
      <c r="N39" s="6" t="b">
        <f t="shared" si="4"/>
        <v>0</v>
      </c>
      <c r="O39" s="11">
        <v>72</v>
      </c>
      <c r="P39" s="6" t="b">
        <f t="shared" si="10"/>
        <v>0</v>
      </c>
      <c r="Q39" s="12">
        <v>430632</v>
      </c>
      <c r="R39" s="1">
        <f t="shared" si="6"/>
        <v>0</v>
      </c>
      <c r="S39" s="1">
        <f t="shared" si="7"/>
        <v>0</v>
      </c>
      <c r="T39" s="1">
        <f t="shared" si="8"/>
        <v>0</v>
      </c>
      <c r="U39" s="1">
        <f t="shared" si="9"/>
        <v>0</v>
      </c>
    </row>
    <row r="40" spans="1:21" ht="20" customHeight="1" x14ac:dyDescent="0.15">
      <c r="A40" s="8">
        <v>209</v>
      </c>
      <c r="B40" s="9" t="s">
        <v>45</v>
      </c>
      <c r="C40" s="41">
        <f t="shared" si="3"/>
        <v>44246</v>
      </c>
      <c r="D40" s="10" t="s">
        <v>26</v>
      </c>
      <c r="E40" s="36" t="str">
        <f t="shared" si="0"/>
        <v>banner_partner</v>
      </c>
      <c r="F40" s="10" t="s">
        <v>27</v>
      </c>
      <c r="G40" s="11">
        <v>39889</v>
      </c>
      <c r="H40" s="11">
        <v>19065489</v>
      </c>
      <c r="I40" s="12">
        <v>492126</v>
      </c>
      <c r="J40" s="40">
        <f t="shared" si="1"/>
        <v>2.4236986525758663E-3</v>
      </c>
      <c r="K40" s="11">
        <v>46209</v>
      </c>
      <c r="L40" s="6" t="b">
        <f t="shared" si="2"/>
        <v>0</v>
      </c>
      <c r="M40" s="11">
        <v>924</v>
      </c>
      <c r="N40" s="6" t="b">
        <f t="shared" si="4"/>
        <v>0</v>
      </c>
      <c r="O40" s="11">
        <v>139</v>
      </c>
      <c r="P40" s="6" t="b">
        <f t="shared" si="10"/>
        <v>0</v>
      </c>
      <c r="Q40" s="12">
        <v>556417</v>
      </c>
      <c r="R40" s="1">
        <f t="shared" si="6"/>
        <v>0</v>
      </c>
      <c r="S40" s="1">
        <f t="shared" si="7"/>
        <v>0</v>
      </c>
      <c r="T40" s="1">
        <f t="shared" si="8"/>
        <v>0</v>
      </c>
      <c r="U40" s="1">
        <f t="shared" si="9"/>
        <v>0</v>
      </c>
    </row>
    <row r="41" spans="1:21" ht="20" customHeight="1" x14ac:dyDescent="0.15">
      <c r="A41" s="8">
        <v>121</v>
      </c>
      <c r="B41" s="9" t="s">
        <v>37</v>
      </c>
      <c r="C41" s="41">
        <f t="shared" si="3"/>
        <v>44238</v>
      </c>
      <c r="D41" s="10" t="s">
        <v>26</v>
      </c>
      <c r="E41" s="36" t="str">
        <f t="shared" si="0"/>
        <v>banner_partner</v>
      </c>
      <c r="F41" s="10" t="s">
        <v>27</v>
      </c>
      <c r="G41" s="11">
        <v>39889</v>
      </c>
      <c r="H41" s="11">
        <v>5125187</v>
      </c>
      <c r="I41" s="12">
        <v>193124</v>
      </c>
      <c r="J41" s="40">
        <f t="shared" si="1"/>
        <v>2.4588371116995339E-3</v>
      </c>
      <c r="K41" s="11">
        <v>12602</v>
      </c>
      <c r="L41" s="6" t="b">
        <f t="shared" si="2"/>
        <v>0</v>
      </c>
      <c r="M41" s="11">
        <v>482</v>
      </c>
      <c r="N41" s="6" t="b">
        <f t="shared" si="4"/>
        <v>0</v>
      </c>
      <c r="O41" s="11">
        <v>57</v>
      </c>
      <c r="P41" s="6" t="b">
        <f t="shared" si="10"/>
        <v>0</v>
      </c>
      <c r="Q41" s="12">
        <v>226917</v>
      </c>
      <c r="R41" s="1">
        <f t="shared" si="6"/>
        <v>0</v>
      </c>
      <c r="S41" s="1">
        <f t="shared" si="7"/>
        <v>0</v>
      </c>
      <c r="T41" s="1">
        <f t="shared" si="8"/>
        <v>0</v>
      </c>
      <c r="U41" s="1">
        <f t="shared" si="9"/>
        <v>0</v>
      </c>
    </row>
    <row r="42" spans="1:21" ht="20" customHeight="1" x14ac:dyDescent="0.15">
      <c r="A42" s="8">
        <v>145</v>
      </c>
      <c r="B42" s="9" t="s">
        <v>40</v>
      </c>
      <c r="C42" s="41">
        <f t="shared" si="3"/>
        <v>44241</v>
      </c>
      <c r="D42" s="10" t="s">
        <v>15</v>
      </c>
      <c r="E42" s="36" t="str">
        <f t="shared" si="0"/>
        <v>facebook_tier2</v>
      </c>
      <c r="F42" s="10" t="s">
        <v>14</v>
      </c>
      <c r="G42" s="11">
        <v>348934</v>
      </c>
      <c r="H42" s="11">
        <v>7936534</v>
      </c>
      <c r="I42" s="12">
        <v>197948</v>
      </c>
      <c r="J42" s="40">
        <f t="shared" si="1"/>
        <v>2.4944138083450532E-3</v>
      </c>
      <c r="K42" s="11">
        <v>19797</v>
      </c>
      <c r="L42" s="6" t="b">
        <f t="shared" si="2"/>
        <v>0</v>
      </c>
      <c r="M42" s="11">
        <v>396</v>
      </c>
      <c r="N42" s="6" t="b">
        <f t="shared" si="4"/>
        <v>0</v>
      </c>
      <c r="O42" s="11">
        <v>30</v>
      </c>
      <c r="P42" s="6" t="b">
        <f t="shared" si="10"/>
        <v>0</v>
      </c>
      <c r="Q42" s="12">
        <v>149430</v>
      </c>
      <c r="R42" s="1">
        <f t="shared" si="6"/>
        <v>0</v>
      </c>
      <c r="S42" s="1">
        <f t="shared" si="7"/>
        <v>0</v>
      </c>
      <c r="T42" s="1">
        <f t="shared" si="8"/>
        <v>0</v>
      </c>
      <c r="U42" s="1">
        <f t="shared" si="9"/>
        <v>0</v>
      </c>
    </row>
    <row r="43" spans="1:21" ht="20" customHeight="1" x14ac:dyDescent="0.15">
      <c r="A43" s="8">
        <v>248</v>
      </c>
      <c r="B43" s="9" t="s">
        <v>49</v>
      </c>
      <c r="C43" s="41">
        <f t="shared" si="3"/>
        <v>44250</v>
      </c>
      <c r="D43" s="10" t="s">
        <v>21</v>
      </c>
      <c r="E43" s="36" t="str">
        <f t="shared" si="0"/>
        <v>instagram_tier1</v>
      </c>
      <c r="F43" s="10" t="s">
        <v>14</v>
      </c>
      <c r="G43" s="11">
        <v>9034945</v>
      </c>
      <c r="H43" s="11">
        <v>536236</v>
      </c>
      <c r="I43" s="13">
        <v>557.25</v>
      </c>
      <c r="J43" s="40">
        <f t="shared" si="1"/>
        <v>2.5156833931328742E-3</v>
      </c>
      <c r="K43" s="11">
        <v>1349</v>
      </c>
      <c r="L43" s="6" t="b">
        <f t="shared" si="2"/>
        <v>0</v>
      </c>
      <c r="M43" s="11">
        <v>1</v>
      </c>
      <c r="N43" s="6" t="b">
        <f t="shared" si="4"/>
        <v>0</v>
      </c>
      <c r="O43" s="11">
        <v>0</v>
      </c>
      <c r="P43" s="6" t="b">
        <f t="shared" si="10"/>
        <v>0</v>
      </c>
      <c r="Q43" s="12">
        <v>0</v>
      </c>
      <c r="R43" s="1">
        <f t="shared" si="6"/>
        <v>0</v>
      </c>
      <c r="S43" s="1">
        <f t="shared" si="7"/>
        <v>0</v>
      </c>
      <c r="T43" s="1">
        <f t="shared" si="8"/>
        <v>0</v>
      </c>
      <c r="U43" s="1">
        <f t="shared" si="9"/>
        <v>0</v>
      </c>
    </row>
    <row r="44" spans="1:21" ht="20" customHeight="1" x14ac:dyDescent="0.15">
      <c r="A44" s="8">
        <v>55</v>
      </c>
      <c r="B44" s="9" t="s">
        <v>31</v>
      </c>
      <c r="C44" s="41">
        <f t="shared" si="3"/>
        <v>44232</v>
      </c>
      <c r="D44" s="10" t="s">
        <v>26</v>
      </c>
      <c r="E44" s="36" t="str">
        <f t="shared" si="0"/>
        <v>banner_partner</v>
      </c>
      <c r="F44" s="10" t="s">
        <v>27</v>
      </c>
      <c r="G44" s="11">
        <v>39889</v>
      </c>
      <c r="H44" s="11">
        <v>8238872</v>
      </c>
      <c r="I44" s="12">
        <v>427922</v>
      </c>
      <c r="J44" s="40">
        <f t="shared" si="1"/>
        <v>2.5485284878803798E-3</v>
      </c>
      <c r="K44" s="11">
        <v>20997</v>
      </c>
      <c r="L44" s="6" t="b">
        <f t="shared" si="2"/>
        <v>0</v>
      </c>
      <c r="M44" s="11">
        <v>796</v>
      </c>
      <c r="N44" s="6" t="b">
        <f t="shared" si="4"/>
        <v>0</v>
      </c>
      <c r="O44" s="11">
        <v>119</v>
      </c>
      <c r="P44" s="6" t="b">
        <f t="shared" si="10"/>
        <v>0</v>
      </c>
      <c r="Q44" s="12">
        <v>471240</v>
      </c>
      <c r="R44" s="1">
        <f t="shared" si="6"/>
        <v>0</v>
      </c>
      <c r="S44" s="1">
        <f t="shared" si="7"/>
        <v>0</v>
      </c>
      <c r="T44" s="1">
        <f t="shared" si="8"/>
        <v>0</v>
      </c>
      <c r="U44" s="1">
        <f t="shared" si="9"/>
        <v>0</v>
      </c>
    </row>
    <row r="45" spans="1:21" ht="20" customHeight="1" x14ac:dyDescent="0.15">
      <c r="A45" s="8">
        <v>172</v>
      </c>
      <c r="B45" s="9" t="s">
        <v>42</v>
      </c>
      <c r="C45" s="41">
        <f t="shared" si="3"/>
        <v>44243</v>
      </c>
      <c r="D45" s="10" t="s">
        <v>22</v>
      </c>
      <c r="E45" s="36" t="str">
        <f t="shared" si="0"/>
        <v>instagram_tier2</v>
      </c>
      <c r="F45" s="10" t="s">
        <v>14</v>
      </c>
      <c r="G45" s="11">
        <v>983498</v>
      </c>
      <c r="H45" s="11">
        <v>15988504</v>
      </c>
      <c r="I45" s="12">
        <v>103731</v>
      </c>
      <c r="J45" s="40">
        <f t="shared" si="1"/>
        <v>2.5514582227330338E-3</v>
      </c>
      <c r="K45" s="11">
        <v>40794</v>
      </c>
      <c r="L45" s="6" t="b">
        <f t="shared" si="2"/>
        <v>0</v>
      </c>
      <c r="M45" s="11">
        <v>816</v>
      </c>
      <c r="N45" s="6" t="b">
        <f t="shared" si="4"/>
        <v>0</v>
      </c>
      <c r="O45" s="11">
        <v>24</v>
      </c>
      <c r="P45" s="6" t="b">
        <f t="shared" si="10"/>
        <v>0</v>
      </c>
      <c r="Q45" s="12">
        <v>41424</v>
      </c>
      <c r="R45" s="1">
        <f t="shared" si="6"/>
        <v>0</v>
      </c>
      <c r="S45" s="1">
        <f t="shared" si="7"/>
        <v>0</v>
      </c>
      <c r="T45" s="1">
        <f t="shared" si="8"/>
        <v>0</v>
      </c>
      <c r="U45" s="1">
        <f t="shared" si="9"/>
        <v>0</v>
      </c>
    </row>
    <row r="46" spans="1:21" ht="20" customHeight="1" x14ac:dyDescent="0.15">
      <c r="A46" s="8">
        <v>128</v>
      </c>
      <c r="B46" s="9" t="s">
        <v>38</v>
      </c>
      <c r="C46" s="41">
        <f t="shared" si="3"/>
        <v>44239</v>
      </c>
      <c r="D46" s="10" t="s">
        <v>22</v>
      </c>
      <c r="E46" s="36" t="str">
        <f t="shared" si="0"/>
        <v>instagram_tier2</v>
      </c>
      <c r="F46" s="10" t="s">
        <v>14</v>
      </c>
      <c r="G46" s="11">
        <v>983498</v>
      </c>
      <c r="H46" s="11">
        <v>7156880</v>
      </c>
      <c r="I46" s="12">
        <v>49060.3</v>
      </c>
      <c r="J46" s="40">
        <f t="shared" si="1"/>
        <v>2.8491465554822772E-3</v>
      </c>
      <c r="K46" s="11">
        <v>20391</v>
      </c>
      <c r="L46" s="6" t="b">
        <f t="shared" si="2"/>
        <v>0</v>
      </c>
      <c r="M46" s="11">
        <v>408</v>
      </c>
      <c r="N46" s="6" t="b">
        <f t="shared" si="4"/>
        <v>0</v>
      </c>
      <c r="O46" s="11">
        <v>15</v>
      </c>
      <c r="P46" s="6" t="b">
        <f t="shared" si="10"/>
        <v>0</v>
      </c>
      <c r="Q46" s="12">
        <v>29715</v>
      </c>
      <c r="R46" s="1">
        <f t="shared" si="6"/>
        <v>0</v>
      </c>
      <c r="S46" s="1">
        <f t="shared" si="7"/>
        <v>0</v>
      </c>
      <c r="T46" s="1">
        <f t="shared" si="8"/>
        <v>0</v>
      </c>
      <c r="U46" s="1">
        <f t="shared" si="9"/>
        <v>0</v>
      </c>
    </row>
    <row r="47" spans="1:21" ht="20" customHeight="1" x14ac:dyDescent="0.15">
      <c r="A47" s="8">
        <v>35</v>
      </c>
      <c r="B47" s="9" t="s">
        <v>30</v>
      </c>
      <c r="C47" s="41">
        <f t="shared" si="3"/>
        <v>44231</v>
      </c>
      <c r="D47" s="10" t="s">
        <v>15</v>
      </c>
      <c r="E47" s="36" t="str">
        <f t="shared" si="0"/>
        <v>facebook_tier2</v>
      </c>
      <c r="F47" s="10" t="s">
        <v>14</v>
      </c>
      <c r="G47" s="11">
        <v>348934</v>
      </c>
      <c r="H47" s="11">
        <v>4597702</v>
      </c>
      <c r="I47" s="12">
        <v>115389</v>
      </c>
      <c r="J47" s="40">
        <f t="shared" si="1"/>
        <v>2.8723044686236733E-3</v>
      </c>
      <c r="K47" s="11">
        <v>13206</v>
      </c>
      <c r="L47" s="6" t="b">
        <f t="shared" si="2"/>
        <v>0</v>
      </c>
      <c r="M47" s="11">
        <v>143</v>
      </c>
      <c r="N47" s="6" t="b">
        <f t="shared" si="4"/>
        <v>0</v>
      </c>
      <c r="O47" s="11">
        <v>17</v>
      </c>
      <c r="P47" s="6" t="b">
        <f t="shared" si="10"/>
        <v>0</v>
      </c>
      <c r="Q47" s="12">
        <v>82909</v>
      </c>
      <c r="R47" s="1">
        <f t="shared" si="6"/>
        <v>0</v>
      </c>
      <c r="S47" s="1">
        <f t="shared" si="7"/>
        <v>0</v>
      </c>
      <c r="T47" s="1">
        <f t="shared" si="8"/>
        <v>0</v>
      </c>
      <c r="U47" s="1">
        <f t="shared" si="9"/>
        <v>0</v>
      </c>
    </row>
    <row r="48" spans="1:21" ht="20" customHeight="1" x14ac:dyDescent="0.15">
      <c r="A48" s="8">
        <v>127</v>
      </c>
      <c r="B48" s="9" t="s">
        <v>38</v>
      </c>
      <c r="C48" s="41">
        <f t="shared" si="3"/>
        <v>44239</v>
      </c>
      <c r="D48" s="10" t="s">
        <v>21</v>
      </c>
      <c r="E48" s="36" t="str">
        <f t="shared" si="0"/>
        <v>instagram_tier1</v>
      </c>
      <c r="F48" s="10" t="s">
        <v>14</v>
      </c>
      <c r="G48" s="11">
        <v>9034945</v>
      </c>
      <c r="H48" s="11">
        <v>3735390</v>
      </c>
      <c r="I48" s="12">
        <v>26659.9</v>
      </c>
      <c r="J48" s="40">
        <f t="shared" si="1"/>
        <v>2.8928706239509127E-3</v>
      </c>
      <c r="K48" s="11">
        <v>10806</v>
      </c>
      <c r="L48" s="6" t="b">
        <f t="shared" si="2"/>
        <v>0</v>
      </c>
      <c r="M48" s="11">
        <v>115</v>
      </c>
      <c r="N48" s="6" t="b">
        <f t="shared" si="4"/>
        <v>0</v>
      </c>
      <c r="O48" s="11">
        <v>9</v>
      </c>
      <c r="P48" s="6" t="b">
        <f t="shared" si="10"/>
        <v>0</v>
      </c>
      <c r="Q48" s="12">
        <v>53523</v>
      </c>
      <c r="R48" s="1">
        <f t="shared" si="6"/>
        <v>0</v>
      </c>
      <c r="S48" s="1">
        <f t="shared" si="7"/>
        <v>0</v>
      </c>
      <c r="T48" s="1">
        <f t="shared" si="8"/>
        <v>0</v>
      </c>
      <c r="U48" s="1">
        <f t="shared" si="9"/>
        <v>0</v>
      </c>
    </row>
    <row r="49" spans="1:21" ht="20" customHeight="1" x14ac:dyDescent="0.15">
      <c r="A49" s="8">
        <v>210</v>
      </c>
      <c r="B49" s="9" t="s">
        <v>46</v>
      </c>
      <c r="C49" s="41">
        <f t="shared" si="3"/>
        <v>44247</v>
      </c>
      <c r="D49" s="10" t="s">
        <v>13</v>
      </c>
      <c r="E49" s="36" t="str">
        <f t="shared" si="0"/>
        <v>facebook_tier1</v>
      </c>
      <c r="F49" s="10" t="s">
        <v>14</v>
      </c>
      <c r="G49" s="11">
        <v>349043</v>
      </c>
      <c r="H49" s="11">
        <v>9916906</v>
      </c>
      <c r="I49" s="12">
        <v>56874.2</v>
      </c>
      <c r="J49" s="40">
        <f t="shared" si="1"/>
        <v>2.9037282394327422E-3</v>
      </c>
      <c r="K49" s="11">
        <v>28796</v>
      </c>
      <c r="L49" s="6" t="b">
        <f t="shared" si="2"/>
        <v>0</v>
      </c>
      <c r="M49" s="11">
        <v>88</v>
      </c>
      <c r="N49" s="6" t="b">
        <f t="shared" si="4"/>
        <v>0</v>
      </c>
      <c r="O49" s="11">
        <v>12</v>
      </c>
      <c r="P49" s="6" t="b">
        <f t="shared" si="10"/>
        <v>0</v>
      </c>
      <c r="Q49" s="12">
        <v>59772</v>
      </c>
      <c r="R49" s="1">
        <f t="shared" si="6"/>
        <v>0</v>
      </c>
      <c r="S49" s="1">
        <f t="shared" si="7"/>
        <v>0</v>
      </c>
      <c r="T49" s="1">
        <f t="shared" si="8"/>
        <v>0</v>
      </c>
      <c r="U49" s="1">
        <f t="shared" si="9"/>
        <v>0</v>
      </c>
    </row>
    <row r="50" spans="1:21" ht="20" customHeight="1" x14ac:dyDescent="0.15">
      <c r="A50" s="8">
        <v>6</v>
      </c>
      <c r="B50" s="9" t="s">
        <v>12</v>
      </c>
      <c r="C50" s="41">
        <f t="shared" si="3"/>
        <v>44228</v>
      </c>
      <c r="D50" s="10" t="s">
        <v>21</v>
      </c>
      <c r="E50" s="36" t="str">
        <f t="shared" si="0"/>
        <v>instagram_tier1</v>
      </c>
      <c r="F50" s="10" t="s">
        <v>14</v>
      </c>
      <c r="G50" s="11">
        <v>9034945</v>
      </c>
      <c r="H50" s="11">
        <v>444857</v>
      </c>
      <c r="I50" s="13">
        <v>9540.01</v>
      </c>
      <c r="J50" s="40">
        <f t="shared" si="1"/>
        <v>3.0166997484584934E-3</v>
      </c>
      <c r="K50" s="11">
        <v>1342</v>
      </c>
      <c r="L50" s="6" t="b">
        <f t="shared" si="2"/>
        <v>0</v>
      </c>
      <c r="M50" s="11">
        <v>27</v>
      </c>
      <c r="N50" s="6" t="b">
        <f t="shared" si="4"/>
        <v>0</v>
      </c>
      <c r="O50" s="11">
        <v>3</v>
      </c>
      <c r="P50" s="6" t="b">
        <f t="shared" si="10"/>
        <v>0</v>
      </c>
      <c r="Q50" s="12">
        <v>17943</v>
      </c>
      <c r="R50" s="1">
        <f t="shared" si="6"/>
        <v>0</v>
      </c>
      <c r="S50" s="1">
        <f t="shared" si="7"/>
        <v>0</v>
      </c>
      <c r="T50" s="1">
        <f t="shared" si="8"/>
        <v>0</v>
      </c>
      <c r="U50" s="1">
        <f t="shared" si="9"/>
        <v>0</v>
      </c>
    </row>
    <row r="51" spans="1:21" ht="20" customHeight="1" x14ac:dyDescent="0.15">
      <c r="A51" s="8">
        <v>259</v>
      </c>
      <c r="B51" s="9" t="s">
        <v>50</v>
      </c>
      <c r="C51" s="41">
        <f t="shared" si="3"/>
        <v>44251</v>
      </c>
      <c r="D51" s="10" t="s">
        <v>21</v>
      </c>
      <c r="E51" s="36" t="str">
        <f t="shared" si="0"/>
        <v>instagram_tier1</v>
      </c>
      <c r="F51" s="10" t="s">
        <v>14</v>
      </c>
      <c r="G51" s="11">
        <v>9034945</v>
      </c>
      <c r="H51" s="11">
        <v>869482</v>
      </c>
      <c r="I51" s="12">
        <v>23908.400000000001</v>
      </c>
      <c r="J51" s="40">
        <f t="shared" si="1"/>
        <v>3.1087475071364329E-3</v>
      </c>
      <c r="K51" s="11">
        <v>2703</v>
      </c>
      <c r="L51" s="6" t="b">
        <f t="shared" si="2"/>
        <v>0</v>
      </c>
      <c r="M51" s="11">
        <v>42</v>
      </c>
      <c r="N51" s="6" t="b">
        <f t="shared" si="4"/>
        <v>0</v>
      </c>
      <c r="O51" s="11">
        <v>7</v>
      </c>
      <c r="P51" s="6" t="b">
        <f t="shared" si="10"/>
        <v>0</v>
      </c>
      <c r="Q51" s="12">
        <v>36456</v>
      </c>
      <c r="R51" s="1">
        <f t="shared" si="6"/>
        <v>0</v>
      </c>
      <c r="S51" s="1">
        <f t="shared" si="7"/>
        <v>0</v>
      </c>
      <c r="T51" s="1">
        <f t="shared" si="8"/>
        <v>0</v>
      </c>
      <c r="U51" s="1">
        <f t="shared" si="9"/>
        <v>0</v>
      </c>
    </row>
    <row r="52" spans="1:21" ht="20" customHeight="1" x14ac:dyDescent="0.15">
      <c r="A52" s="8">
        <v>23</v>
      </c>
      <c r="B52" s="9" t="s">
        <v>29</v>
      </c>
      <c r="C52" s="41">
        <f t="shared" si="3"/>
        <v>44230</v>
      </c>
      <c r="D52" s="10" t="s">
        <v>13</v>
      </c>
      <c r="E52" s="36" t="str">
        <f t="shared" si="0"/>
        <v>facebook_tier1</v>
      </c>
      <c r="F52" s="10" t="s">
        <v>14</v>
      </c>
      <c r="G52" s="11">
        <v>349043</v>
      </c>
      <c r="H52" s="11">
        <v>2313889</v>
      </c>
      <c r="I52" s="12">
        <v>65284.4</v>
      </c>
      <c r="J52" s="40">
        <f t="shared" si="1"/>
        <v>3.1103479898992562E-3</v>
      </c>
      <c r="K52" s="11">
        <v>7197</v>
      </c>
      <c r="L52" s="6" t="b">
        <f t="shared" si="2"/>
        <v>0</v>
      </c>
      <c r="M52" s="11">
        <v>115</v>
      </c>
      <c r="N52" s="6" t="b">
        <f t="shared" si="4"/>
        <v>0</v>
      </c>
      <c r="O52" s="11">
        <v>13</v>
      </c>
      <c r="P52" s="6" t="b">
        <f t="shared" si="10"/>
        <v>0</v>
      </c>
      <c r="Q52" s="12">
        <v>72527</v>
      </c>
      <c r="R52" s="1">
        <f t="shared" si="6"/>
        <v>0</v>
      </c>
      <c r="S52" s="1">
        <f t="shared" si="7"/>
        <v>0</v>
      </c>
      <c r="T52" s="1">
        <f t="shared" si="8"/>
        <v>0</v>
      </c>
      <c r="U52" s="1">
        <f t="shared" si="9"/>
        <v>0</v>
      </c>
    </row>
    <row r="53" spans="1:21" ht="20" customHeight="1" x14ac:dyDescent="0.15">
      <c r="A53" s="8">
        <v>202</v>
      </c>
      <c r="B53" s="9" t="s">
        <v>45</v>
      </c>
      <c r="C53" s="41">
        <f t="shared" si="3"/>
        <v>44246</v>
      </c>
      <c r="D53" s="10" t="s">
        <v>18</v>
      </c>
      <c r="E53" s="36" t="str">
        <f t="shared" si="0"/>
        <v>google_wide</v>
      </c>
      <c r="F53" s="10" t="s">
        <v>17</v>
      </c>
      <c r="G53" s="11">
        <v>127823</v>
      </c>
      <c r="H53" s="11">
        <v>8455475</v>
      </c>
      <c r="I53" s="12">
        <v>81623.5</v>
      </c>
      <c r="J53" s="40">
        <f t="shared" si="1"/>
        <v>3.122946966314725E-3</v>
      </c>
      <c r="K53" s="11">
        <v>26406</v>
      </c>
      <c r="L53" s="6" t="b">
        <f t="shared" si="2"/>
        <v>0</v>
      </c>
      <c r="M53" s="11">
        <v>281</v>
      </c>
      <c r="N53" s="6" t="b">
        <f t="shared" si="4"/>
        <v>0</v>
      </c>
      <c r="O53" s="11">
        <v>20</v>
      </c>
      <c r="P53" s="6" t="b">
        <f t="shared" si="10"/>
        <v>0</v>
      </c>
      <c r="Q53" s="12">
        <v>72300</v>
      </c>
      <c r="R53" s="1">
        <f t="shared" si="6"/>
        <v>0</v>
      </c>
      <c r="S53" s="1">
        <f t="shared" si="7"/>
        <v>0</v>
      </c>
      <c r="T53" s="1">
        <f t="shared" si="8"/>
        <v>0</v>
      </c>
      <c r="U53" s="1">
        <f t="shared" si="9"/>
        <v>0</v>
      </c>
    </row>
    <row r="54" spans="1:21" ht="20" customHeight="1" x14ac:dyDescent="0.15">
      <c r="A54" s="8">
        <v>233</v>
      </c>
      <c r="B54" s="9" t="s">
        <v>48</v>
      </c>
      <c r="C54" s="41">
        <f t="shared" si="3"/>
        <v>44249</v>
      </c>
      <c r="D54" s="10" t="s">
        <v>15</v>
      </c>
      <c r="E54" s="36" t="str">
        <f t="shared" si="0"/>
        <v>facebook_tier2</v>
      </c>
      <c r="F54" s="10" t="s">
        <v>14</v>
      </c>
      <c r="G54" s="11">
        <v>348934</v>
      </c>
      <c r="H54" s="11">
        <v>2090371</v>
      </c>
      <c r="I54" s="12">
        <v>95536.2</v>
      </c>
      <c r="J54" s="40">
        <f t="shared" si="1"/>
        <v>3.1602045761254822E-3</v>
      </c>
      <c r="K54" s="11">
        <v>6606</v>
      </c>
      <c r="L54" s="6" t="b">
        <f t="shared" si="2"/>
        <v>0</v>
      </c>
      <c r="M54" s="11">
        <v>132</v>
      </c>
      <c r="N54" s="6" t="b">
        <f t="shared" si="4"/>
        <v>0</v>
      </c>
      <c r="O54" s="11">
        <v>14</v>
      </c>
      <c r="P54" s="6" t="b">
        <f t="shared" si="10"/>
        <v>0</v>
      </c>
      <c r="Q54" s="12">
        <v>69734</v>
      </c>
      <c r="R54" s="1">
        <f t="shared" si="6"/>
        <v>0</v>
      </c>
      <c r="S54" s="1">
        <f t="shared" si="7"/>
        <v>0</v>
      </c>
      <c r="T54" s="1">
        <f t="shared" si="8"/>
        <v>0</v>
      </c>
      <c r="U54" s="1">
        <f t="shared" si="9"/>
        <v>0</v>
      </c>
    </row>
    <row r="55" spans="1:21" ht="20" customHeight="1" x14ac:dyDescent="0.15">
      <c r="A55" s="8">
        <v>62</v>
      </c>
      <c r="B55" s="9" t="s">
        <v>32</v>
      </c>
      <c r="C55" s="41">
        <f t="shared" si="3"/>
        <v>44233</v>
      </c>
      <c r="D55" s="10" t="s">
        <v>22</v>
      </c>
      <c r="E55" s="36" t="str">
        <f t="shared" si="0"/>
        <v>instagram_tier2</v>
      </c>
      <c r="F55" s="10" t="s">
        <v>14</v>
      </c>
      <c r="G55" s="11">
        <v>983498</v>
      </c>
      <c r="H55" s="11">
        <v>1589341</v>
      </c>
      <c r="I55" s="12">
        <v>12183.4</v>
      </c>
      <c r="J55" s="40">
        <f t="shared" si="1"/>
        <v>3.2038436056201912E-3</v>
      </c>
      <c r="K55" s="11">
        <v>5092</v>
      </c>
      <c r="L55" s="6" t="b">
        <f t="shared" si="2"/>
        <v>0</v>
      </c>
      <c r="M55" s="11">
        <v>102</v>
      </c>
      <c r="N55" s="6" t="b">
        <f t="shared" si="4"/>
        <v>0</v>
      </c>
      <c r="O55" s="11">
        <v>5</v>
      </c>
      <c r="P55" s="6" t="b">
        <f t="shared" si="10"/>
        <v>0</v>
      </c>
      <c r="Q55" s="12">
        <v>12295</v>
      </c>
      <c r="R55" s="1">
        <f t="shared" si="6"/>
        <v>0</v>
      </c>
      <c r="S55" s="1">
        <f t="shared" si="7"/>
        <v>0</v>
      </c>
      <c r="T55" s="1">
        <f t="shared" si="8"/>
        <v>0</v>
      </c>
      <c r="U55" s="1">
        <f t="shared" si="9"/>
        <v>0</v>
      </c>
    </row>
    <row r="56" spans="1:21" ht="20" customHeight="1" x14ac:dyDescent="0.15">
      <c r="A56" s="8">
        <v>253</v>
      </c>
      <c r="B56" s="9" t="s">
        <v>49</v>
      </c>
      <c r="C56" s="41">
        <f t="shared" si="3"/>
        <v>44250</v>
      </c>
      <c r="D56" s="10" t="s">
        <v>26</v>
      </c>
      <c r="E56" s="36" t="str">
        <f t="shared" si="0"/>
        <v>banner_partner</v>
      </c>
      <c r="F56" s="10" t="s">
        <v>27</v>
      </c>
      <c r="G56" s="11">
        <v>39889</v>
      </c>
      <c r="H56" s="11">
        <v>654544</v>
      </c>
      <c r="I56" s="12">
        <v>16706.400000000001</v>
      </c>
      <c r="J56" s="40">
        <f t="shared" si="1"/>
        <v>3.2068126818059596E-3</v>
      </c>
      <c r="K56" s="11">
        <v>2099</v>
      </c>
      <c r="L56" s="6" t="b">
        <f t="shared" si="2"/>
        <v>0</v>
      </c>
      <c r="M56" s="11">
        <v>42</v>
      </c>
      <c r="N56" s="6" t="b">
        <f t="shared" si="4"/>
        <v>0</v>
      </c>
      <c r="O56" s="11">
        <v>6</v>
      </c>
      <c r="P56" s="6" t="b">
        <f t="shared" si="10"/>
        <v>0</v>
      </c>
      <c r="Q56" s="12">
        <v>23886</v>
      </c>
      <c r="R56" s="1">
        <f t="shared" si="6"/>
        <v>0</v>
      </c>
      <c r="S56" s="1">
        <f t="shared" si="7"/>
        <v>0</v>
      </c>
      <c r="T56" s="1">
        <f t="shared" si="8"/>
        <v>0</v>
      </c>
      <c r="U56" s="1">
        <f t="shared" si="9"/>
        <v>0</v>
      </c>
    </row>
    <row r="57" spans="1:21" ht="20" customHeight="1" x14ac:dyDescent="0.15">
      <c r="A57" s="8">
        <v>165</v>
      </c>
      <c r="B57" s="9" t="s">
        <v>41</v>
      </c>
      <c r="C57" s="41">
        <f t="shared" si="3"/>
        <v>44242</v>
      </c>
      <c r="D57" s="10" t="s">
        <v>26</v>
      </c>
      <c r="E57" s="36" t="str">
        <f t="shared" si="0"/>
        <v>banner_partner</v>
      </c>
      <c r="F57" s="10" t="s">
        <v>27</v>
      </c>
      <c r="G57" s="11">
        <v>39889</v>
      </c>
      <c r="H57" s="11">
        <v>8747458</v>
      </c>
      <c r="I57" s="12">
        <v>543275</v>
      </c>
      <c r="J57" s="40">
        <f t="shared" si="1"/>
        <v>3.3598332224058693E-3</v>
      </c>
      <c r="K57" s="11">
        <v>29390</v>
      </c>
      <c r="L57" s="6" t="b">
        <f t="shared" si="2"/>
        <v>0</v>
      </c>
      <c r="M57" s="11">
        <v>1061</v>
      </c>
      <c r="N57" s="6" t="b">
        <f t="shared" si="4"/>
        <v>0</v>
      </c>
      <c r="O57" s="11">
        <v>171</v>
      </c>
      <c r="P57" s="6" t="b">
        <f t="shared" si="10"/>
        <v>0</v>
      </c>
      <c r="Q57" s="12">
        <v>809685</v>
      </c>
      <c r="R57" s="1">
        <f t="shared" si="6"/>
        <v>0</v>
      </c>
      <c r="S57" s="1">
        <f t="shared" si="7"/>
        <v>0</v>
      </c>
      <c r="T57" s="1">
        <f t="shared" si="8"/>
        <v>0</v>
      </c>
      <c r="U57" s="1">
        <f t="shared" si="9"/>
        <v>0</v>
      </c>
    </row>
    <row r="58" spans="1:21" ht="20" customHeight="1" x14ac:dyDescent="0.15">
      <c r="A58" s="8">
        <v>13</v>
      </c>
      <c r="B58" s="9" t="s">
        <v>28</v>
      </c>
      <c r="C58" s="41">
        <f t="shared" si="3"/>
        <v>44229</v>
      </c>
      <c r="D58" s="10" t="s">
        <v>15</v>
      </c>
      <c r="E58" s="36" t="str">
        <f t="shared" si="0"/>
        <v>facebook_tier2</v>
      </c>
      <c r="F58" s="10" t="s">
        <v>14</v>
      </c>
      <c r="G58" s="11">
        <v>348934</v>
      </c>
      <c r="H58" s="11">
        <v>957806</v>
      </c>
      <c r="I58" s="13">
        <v>2198.0500000000002</v>
      </c>
      <c r="J58" s="40">
        <f t="shared" si="1"/>
        <v>3.4391097988527948E-3</v>
      </c>
      <c r="K58" s="11">
        <v>3294</v>
      </c>
      <c r="L58" s="6" t="b">
        <f t="shared" si="2"/>
        <v>0</v>
      </c>
      <c r="M58" s="11">
        <v>10</v>
      </c>
      <c r="N58" s="6" t="b">
        <f t="shared" si="4"/>
        <v>0</v>
      </c>
      <c r="O58" s="11">
        <v>0</v>
      </c>
      <c r="P58" s="6" t="b">
        <f t="shared" si="10"/>
        <v>0</v>
      </c>
      <c r="Q58" s="12">
        <v>0</v>
      </c>
      <c r="R58" s="1">
        <f t="shared" si="6"/>
        <v>0</v>
      </c>
      <c r="S58" s="1">
        <f t="shared" si="7"/>
        <v>0</v>
      </c>
      <c r="T58" s="1">
        <f t="shared" si="8"/>
        <v>0</v>
      </c>
      <c r="U58" s="1">
        <f t="shared" si="9"/>
        <v>0</v>
      </c>
    </row>
    <row r="59" spans="1:21" ht="20" customHeight="1" x14ac:dyDescent="0.15">
      <c r="A59" s="8">
        <v>244</v>
      </c>
      <c r="B59" s="9" t="s">
        <v>49</v>
      </c>
      <c r="C59" s="41">
        <f t="shared" si="3"/>
        <v>44250</v>
      </c>
      <c r="D59" s="10" t="s">
        <v>15</v>
      </c>
      <c r="E59" s="36" t="str">
        <f t="shared" si="0"/>
        <v>facebook_tier2</v>
      </c>
      <c r="F59" s="10" t="s">
        <v>14</v>
      </c>
      <c r="G59" s="11">
        <v>348934</v>
      </c>
      <c r="H59" s="11">
        <v>475992</v>
      </c>
      <c r="I59" s="12">
        <v>19350</v>
      </c>
      <c r="J59" s="40">
        <f t="shared" si="1"/>
        <v>3.4475369333938385E-3</v>
      </c>
      <c r="K59" s="11">
        <v>1641</v>
      </c>
      <c r="L59" s="6" t="b">
        <f t="shared" si="2"/>
        <v>0</v>
      </c>
      <c r="M59" s="11">
        <v>37</v>
      </c>
      <c r="N59" s="6" t="b">
        <f t="shared" si="4"/>
        <v>0</v>
      </c>
      <c r="O59" s="11">
        <v>3</v>
      </c>
      <c r="P59" s="6" t="b">
        <f t="shared" si="10"/>
        <v>0</v>
      </c>
      <c r="Q59" s="12">
        <v>12225</v>
      </c>
      <c r="R59" s="1">
        <f t="shared" si="6"/>
        <v>0</v>
      </c>
      <c r="S59" s="1">
        <f t="shared" si="7"/>
        <v>0</v>
      </c>
      <c r="T59" s="1">
        <f t="shared" si="8"/>
        <v>0</v>
      </c>
      <c r="U59" s="1">
        <f t="shared" si="9"/>
        <v>0</v>
      </c>
    </row>
    <row r="60" spans="1:21" ht="20" customHeight="1" x14ac:dyDescent="0.15">
      <c r="A60" s="8">
        <v>45</v>
      </c>
      <c r="B60" s="9" t="s">
        <v>31</v>
      </c>
      <c r="C60" s="41">
        <f t="shared" si="3"/>
        <v>44232</v>
      </c>
      <c r="D60" s="10" t="s">
        <v>13</v>
      </c>
      <c r="E60" s="36" t="str">
        <f t="shared" si="0"/>
        <v>facebook_tier1</v>
      </c>
      <c r="F60" s="10" t="s">
        <v>14</v>
      </c>
      <c r="G60" s="11">
        <v>349043</v>
      </c>
      <c r="H60" s="11">
        <v>3462883</v>
      </c>
      <c r="I60" s="12">
        <v>90691.7</v>
      </c>
      <c r="J60" s="40">
        <f t="shared" si="1"/>
        <v>3.4644543289507617E-3</v>
      </c>
      <c r="K60" s="11">
        <v>11997</v>
      </c>
      <c r="L60" s="6" t="b">
        <f t="shared" si="2"/>
        <v>0</v>
      </c>
      <c r="M60" s="11">
        <v>143</v>
      </c>
      <c r="N60" s="6" t="b">
        <f t="shared" si="4"/>
        <v>0</v>
      </c>
      <c r="O60" s="11">
        <v>17</v>
      </c>
      <c r="P60" s="6" t="b">
        <f t="shared" si="10"/>
        <v>0</v>
      </c>
      <c r="Q60" s="12">
        <v>84677</v>
      </c>
      <c r="R60" s="1">
        <f t="shared" si="6"/>
        <v>0</v>
      </c>
      <c r="S60" s="1">
        <f t="shared" si="7"/>
        <v>0</v>
      </c>
      <c r="T60" s="1">
        <f t="shared" si="8"/>
        <v>0</v>
      </c>
      <c r="U60" s="1">
        <f t="shared" si="9"/>
        <v>0</v>
      </c>
    </row>
    <row r="61" spans="1:21" ht="20" customHeight="1" x14ac:dyDescent="0.15">
      <c r="A61" s="8">
        <v>136</v>
      </c>
      <c r="B61" s="9" t="s">
        <v>39</v>
      </c>
      <c r="C61" s="41">
        <f t="shared" si="3"/>
        <v>44240</v>
      </c>
      <c r="D61" s="10" t="s">
        <v>18</v>
      </c>
      <c r="E61" s="36" t="str">
        <f t="shared" si="0"/>
        <v>google_wide</v>
      </c>
      <c r="F61" s="10" t="s">
        <v>17</v>
      </c>
      <c r="G61" s="11">
        <v>127823</v>
      </c>
      <c r="H61" s="11">
        <v>3452027</v>
      </c>
      <c r="I61" s="12">
        <v>216562</v>
      </c>
      <c r="J61" s="40">
        <f t="shared" si="1"/>
        <v>3.4791153139879846E-3</v>
      </c>
      <c r="K61" s="11">
        <v>12010</v>
      </c>
      <c r="L61" s="6" t="b">
        <f t="shared" si="2"/>
        <v>0</v>
      </c>
      <c r="M61" s="11">
        <v>378</v>
      </c>
      <c r="N61" s="6" t="b">
        <f t="shared" si="4"/>
        <v>0</v>
      </c>
      <c r="O61" s="11">
        <v>56</v>
      </c>
      <c r="P61" s="6" t="b">
        <f t="shared" si="10"/>
        <v>0</v>
      </c>
      <c r="Q61" s="12">
        <v>123088</v>
      </c>
      <c r="R61" s="1">
        <f t="shared" si="6"/>
        <v>0</v>
      </c>
      <c r="S61" s="1">
        <f t="shared" si="7"/>
        <v>0</v>
      </c>
      <c r="T61" s="1">
        <f t="shared" si="8"/>
        <v>0</v>
      </c>
      <c r="U61" s="1">
        <f t="shared" si="9"/>
        <v>0</v>
      </c>
    </row>
    <row r="62" spans="1:21" ht="20" customHeight="1" x14ac:dyDescent="0.15">
      <c r="A62" s="8">
        <v>154</v>
      </c>
      <c r="B62" s="9" t="s">
        <v>40</v>
      </c>
      <c r="C62" s="41">
        <f t="shared" si="3"/>
        <v>44241</v>
      </c>
      <c r="D62" s="10" t="s">
        <v>26</v>
      </c>
      <c r="E62" s="36" t="str">
        <f t="shared" si="0"/>
        <v>banner_partner</v>
      </c>
      <c r="F62" s="10" t="s">
        <v>27</v>
      </c>
      <c r="G62" s="11">
        <v>39889</v>
      </c>
      <c r="H62" s="11">
        <v>7218480</v>
      </c>
      <c r="I62" s="12">
        <v>225274</v>
      </c>
      <c r="J62" s="40">
        <f t="shared" si="1"/>
        <v>3.4896543316598506E-3</v>
      </c>
      <c r="K62" s="11">
        <v>25190</v>
      </c>
      <c r="L62" s="6" t="b">
        <f t="shared" si="2"/>
        <v>0</v>
      </c>
      <c r="M62" s="11">
        <v>504</v>
      </c>
      <c r="N62" s="6" t="b">
        <f t="shared" si="4"/>
        <v>0</v>
      </c>
      <c r="O62" s="11">
        <v>76</v>
      </c>
      <c r="P62" s="6" t="b">
        <f t="shared" si="10"/>
        <v>0</v>
      </c>
      <c r="Q62" s="12">
        <v>236056</v>
      </c>
      <c r="R62" s="1">
        <f t="shared" si="6"/>
        <v>0</v>
      </c>
      <c r="S62" s="1">
        <f t="shared" si="7"/>
        <v>0</v>
      </c>
      <c r="T62" s="1">
        <f t="shared" si="8"/>
        <v>0</v>
      </c>
      <c r="U62" s="1">
        <f t="shared" si="9"/>
        <v>0</v>
      </c>
    </row>
    <row r="63" spans="1:21" ht="20" customHeight="1" x14ac:dyDescent="0.15">
      <c r="A63" s="8">
        <v>94</v>
      </c>
      <c r="B63" s="9" t="s">
        <v>35</v>
      </c>
      <c r="C63" s="41">
        <f t="shared" si="3"/>
        <v>44236</v>
      </c>
      <c r="D63" s="10" t="s">
        <v>21</v>
      </c>
      <c r="E63" s="36" t="str">
        <f t="shared" si="0"/>
        <v>instagram_tier1</v>
      </c>
      <c r="F63" s="10" t="s">
        <v>14</v>
      </c>
      <c r="G63" s="11">
        <v>9034945</v>
      </c>
      <c r="H63" s="11">
        <v>759532</v>
      </c>
      <c r="I63" s="12">
        <v>10317</v>
      </c>
      <c r="J63" s="40">
        <f t="shared" si="1"/>
        <v>3.5561372002759595E-3</v>
      </c>
      <c r="K63" s="11">
        <v>2701</v>
      </c>
      <c r="L63" s="6" t="b">
        <f t="shared" si="2"/>
        <v>0</v>
      </c>
      <c r="M63" s="11">
        <v>19</v>
      </c>
      <c r="N63" s="6" t="b">
        <f t="shared" si="4"/>
        <v>0</v>
      </c>
      <c r="O63" s="11">
        <v>3</v>
      </c>
      <c r="P63" s="6" t="b">
        <f t="shared" si="10"/>
        <v>0</v>
      </c>
      <c r="Q63" s="12">
        <v>19800</v>
      </c>
      <c r="R63" s="1">
        <f t="shared" si="6"/>
        <v>0</v>
      </c>
      <c r="S63" s="1">
        <f t="shared" si="7"/>
        <v>0</v>
      </c>
      <c r="T63" s="1">
        <f t="shared" si="8"/>
        <v>0</v>
      </c>
      <c r="U63" s="1">
        <f t="shared" si="9"/>
        <v>0</v>
      </c>
    </row>
    <row r="64" spans="1:21" ht="20" customHeight="1" x14ac:dyDescent="0.15">
      <c r="A64" s="8">
        <v>116</v>
      </c>
      <c r="B64" s="9" t="s">
        <v>37</v>
      </c>
      <c r="C64" s="41">
        <f t="shared" si="3"/>
        <v>44238</v>
      </c>
      <c r="D64" s="10" t="s">
        <v>21</v>
      </c>
      <c r="E64" s="36" t="str">
        <f t="shared" si="0"/>
        <v>instagram_tier1</v>
      </c>
      <c r="F64" s="10" t="s">
        <v>14</v>
      </c>
      <c r="G64" s="11">
        <v>9034945</v>
      </c>
      <c r="H64" s="11">
        <v>2224531</v>
      </c>
      <c r="I64" s="13">
        <v>348.99</v>
      </c>
      <c r="J64" s="40">
        <f t="shared" si="1"/>
        <v>3.6439141553882594E-3</v>
      </c>
      <c r="K64" s="11">
        <v>8106</v>
      </c>
      <c r="L64" s="6" t="b">
        <f t="shared" si="2"/>
        <v>0</v>
      </c>
      <c r="M64" s="11">
        <v>1</v>
      </c>
      <c r="N64" s="6" t="b">
        <f t="shared" si="4"/>
        <v>0</v>
      </c>
      <c r="O64" s="11">
        <v>0</v>
      </c>
      <c r="P64" s="6" t="b">
        <f t="shared" si="10"/>
        <v>0</v>
      </c>
      <c r="Q64" s="12">
        <v>0</v>
      </c>
      <c r="R64" s="1">
        <f t="shared" si="6"/>
        <v>0</v>
      </c>
      <c r="S64" s="1">
        <f t="shared" si="7"/>
        <v>0</v>
      </c>
      <c r="T64" s="1">
        <f t="shared" si="8"/>
        <v>0</v>
      </c>
      <c r="U64" s="1">
        <f t="shared" si="9"/>
        <v>0</v>
      </c>
    </row>
    <row r="65" spans="1:21" ht="20" customHeight="1" x14ac:dyDescent="0.15">
      <c r="A65" s="8">
        <v>277</v>
      </c>
      <c r="B65" s="9" t="s">
        <v>52</v>
      </c>
      <c r="C65" s="41">
        <f t="shared" si="3"/>
        <v>44253</v>
      </c>
      <c r="D65" s="10" t="s">
        <v>15</v>
      </c>
      <c r="E65" s="36" t="str">
        <f t="shared" si="0"/>
        <v>facebook_tier2</v>
      </c>
      <c r="F65" s="10" t="s">
        <v>14</v>
      </c>
      <c r="G65" s="11">
        <v>348934</v>
      </c>
      <c r="H65" s="11">
        <v>438858</v>
      </c>
      <c r="I65" s="12">
        <v>17935.400000000001</v>
      </c>
      <c r="J65" s="40">
        <f t="shared" si="1"/>
        <v>3.7757087714021392E-3</v>
      </c>
      <c r="K65" s="11">
        <v>1657</v>
      </c>
      <c r="L65" s="6" t="b">
        <f t="shared" si="2"/>
        <v>0</v>
      </c>
      <c r="M65" s="11">
        <v>33</v>
      </c>
      <c r="N65" s="6" t="b">
        <f t="shared" si="4"/>
        <v>0</v>
      </c>
      <c r="O65" s="11">
        <v>3</v>
      </c>
      <c r="P65" s="6" t="b">
        <f t="shared" si="10"/>
        <v>0</v>
      </c>
      <c r="Q65" s="12">
        <v>15345</v>
      </c>
      <c r="R65" s="1">
        <f t="shared" si="6"/>
        <v>0</v>
      </c>
      <c r="S65" s="1">
        <f t="shared" si="7"/>
        <v>0</v>
      </c>
      <c r="T65" s="1">
        <f t="shared" si="8"/>
        <v>0</v>
      </c>
      <c r="U65" s="1">
        <f t="shared" si="9"/>
        <v>0</v>
      </c>
    </row>
    <row r="66" spans="1:21" ht="20" customHeight="1" x14ac:dyDescent="0.15">
      <c r="A66" s="8">
        <v>194</v>
      </c>
      <c r="B66" s="9" t="s">
        <v>44</v>
      </c>
      <c r="C66" s="41">
        <f t="shared" si="3"/>
        <v>44245</v>
      </c>
      <c r="D66" s="10" t="s">
        <v>22</v>
      </c>
      <c r="E66" s="36" t="str">
        <f t="shared" si="0"/>
        <v>instagram_tier2</v>
      </c>
      <c r="F66" s="10" t="s">
        <v>14</v>
      </c>
      <c r="G66" s="11">
        <v>983498</v>
      </c>
      <c r="H66" s="11">
        <v>13281923</v>
      </c>
      <c r="I66" s="12">
        <v>58596.4</v>
      </c>
      <c r="J66" s="40">
        <f t="shared" si="1"/>
        <v>3.8398054257655313E-3</v>
      </c>
      <c r="K66" s="11">
        <v>51000</v>
      </c>
      <c r="L66" s="6" t="b">
        <f t="shared" si="2"/>
        <v>0</v>
      </c>
      <c r="M66" s="11">
        <v>1020</v>
      </c>
      <c r="N66" s="6" t="b">
        <f t="shared" si="4"/>
        <v>0</v>
      </c>
      <c r="O66" s="11">
        <v>16</v>
      </c>
      <c r="P66" s="6" t="b">
        <f t="shared" si="10"/>
        <v>0</v>
      </c>
      <c r="Q66" s="12">
        <v>36016</v>
      </c>
      <c r="R66" s="1">
        <f t="shared" si="6"/>
        <v>0</v>
      </c>
      <c r="S66" s="1">
        <f t="shared" si="7"/>
        <v>0</v>
      </c>
      <c r="T66" s="1">
        <f t="shared" si="8"/>
        <v>0</v>
      </c>
      <c r="U66" s="1">
        <f t="shared" si="9"/>
        <v>0</v>
      </c>
    </row>
    <row r="67" spans="1:21" ht="20" customHeight="1" x14ac:dyDescent="0.15">
      <c r="A67" s="8">
        <v>34</v>
      </c>
      <c r="B67" s="9" t="s">
        <v>30</v>
      </c>
      <c r="C67" s="41">
        <f t="shared" si="3"/>
        <v>44231</v>
      </c>
      <c r="D67" s="10" t="s">
        <v>13</v>
      </c>
      <c r="E67" s="36" t="str">
        <f t="shared" ref="E67:E130" si="11">TRIM(LOWER(D67))</f>
        <v>facebook_tier1</v>
      </c>
      <c r="F67" s="10" t="s">
        <v>14</v>
      </c>
      <c r="G67" s="11">
        <v>349043</v>
      </c>
      <c r="H67" s="11">
        <v>2475754</v>
      </c>
      <c r="I67" s="12">
        <v>173914</v>
      </c>
      <c r="J67" s="40">
        <f t="shared" ref="J67:J130" si="12">(K67)/(H67)</f>
        <v>3.8780104970041452E-3</v>
      </c>
      <c r="K67" s="11">
        <v>9601</v>
      </c>
      <c r="L67" s="6" t="b">
        <f t="shared" ref="L67:L130" si="13">(K67)&gt;(H67)</f>
        <v>0</v>
      </c>
      <c r="M67" s="11">
        <v>192</v>
      </c>
      <c r="N67" s="6" t="b">
        <f t="shared" si="4"/>
        <v>0</v>
      </c>
      <c r="O67" s="11">
        <v>31</v>
      </c>
      <c r="P67" s="6" t="b">
        <f t="shared" si="10"/>
        <v>0</v>
      </c>
      <c r="Q67" s="12">
        <v>154411</v>
      </c>
      <c r="R67" s="1">
        <f t="shared" si="6"/>
        <v>0</v>
      </c>
      <c r="S67" s="1">
        <f t="shared" si="7"/>
        <v>0</v>
      </c>
      <c r="T67" s="1">
        <f t="shared" si="8"/>
        <v>0</v>
      </c>
      <c r="U67" s="1">
        <f t="shared" si="9"/>
        <v>0</v>
      </c>
    </row>
    <row r="68" spans="1:21" ht="20" customHeight="1" x14ac:dyDescent="0.15">
      <c r="A68" s="8">
        <v>215</v>
      </c>
      <c r="B68" s="9" t="s">
        <v>46</v>
      </c>
      <c r="C68" s="41">
        <f t="shared" ref="C68:C131" si="14">DATEVALUE(B68)</f>
        <v>44247</v>
      </c>
      <c r="D68" s="10" t="s">
        <v>21</v>
      </c>
      <c r="E68" s="36" t="str">
        <f t="shared" si="11"/>
        <v>instagram_tier1</v>
      </c>
      <c r="F68" s="10" t="s">
        <v>14</v>
      </c>
      <c r="G68" s="11">
        <v>9034945</v>
      </c>
      <c r="H68" s="11">
        <v>7669421</v>
      </c>
      <c r="I68" s="12">
        <v>404737</v>
      </c>
      <c r="J68" s="40">
        <f t="shared" si="12"/>
        <v>4.2239172944085347E-3</v>
      </c>
      <c r="K68" s="11">
        <v>32395</v>
      </c>
      <c r="L68" s="6" t="b">
        <f t="shared" si="13"/>
        <v>0</v>
      </c>
      <c r="M68" s="11">
        <v>1003</v>
      </c>
      <c r="N68" s="6" t="b">
        <f t="shared" ref="N68:N131" si="15">(M68)&gt;(K68)</f>
        <v>0</v>
      </c>
      <c r="O68" s="11">
        <v>139</v>
      </c>
      <c r="P68" s="6" t="b">
        <f t="shared" ref="P68:P99" si="16">(O67)&gt;(M67)</f>
        <v>0</v>
      </c>
      <c r="Q68" s="12">
        <v>847066</v>
      </c>
      <c r="R68" s="1">
        <f t="shared" ref="R68:R131" si="17">MOD(H68, 1)</f>
        <v>0</v>
      </c>
      <c r="S68" s="1">
        <f t="shared" ref="S68:S131" si="18">MOD(K68, 1)</f>
        <v>0</v>
      </c>
      <c r="T68" s="1">
        <f t="shared" ref="T68:T131" si="19">MOD(M68,1)</f>
        <v>0</v>
      </c>
      <c r="U68" s="1">
        <f t="shared" ref="U68:U131" si="20">MOD(O68,1)</f>
        <v>0</v>
      </c>
    </row>
    <row r="69" spans="1:21" ht="20" customHeight="1" x14ac:dyDescent="0.15">
      <c r="A69" s="8">
        <v>147</v>
      </c>
      <c r="B69" s="9" t="s">
        <v>40</v>
      </c>
      <c r="C69" s="41">
        <f t="shared" si="14"/>
        <v>44241</v>
      </c>
      <c r="D69" s="10" t="s">
        <v>18</v>
      </c>
      <c r="E69" s="36" t="str">
        <f t="shared" si="11"/>
        <v>google_wide</v>
      </c>
      <c r="F69" s="10" t="s">
        <v>17</v>
      </c>
      <c r="G69" s="11">
        <v>127823</v>
      </c>
      <c r="H69" s="11">
        <v>3111389</v>
      </c>
      <c r="I69" s="12">
        <v>196998</v>
      </c>
      <c r="J69" s="40">
        <f t="shared" si="12"/>
        <v>4.6249440362487624E-3</v>
      </c>
      <c r="K69" s="11">
        <v>14390</v>
      </c>
      <c r="L69" s="6" t="b">
        <f t="shared" si="13"/>
        <v>0</v>
      </c>
      <c r="M69" s="11">
        <v>498</v>
      </c>
      <c r="N69" s="6" t="b">
        <f t="shared" si="15"/>
        <v>0</v>
      </c>
      <c r="O69" s="11">
        <v>48</v>
      </c>
      <c r="P69" s="6" t="b">
        <f t="shared" si="16"/>
        <v>0</v>
      </c>
      <c r="Q69" s="12">
        <v>101280</v>
      </c>
      <c r="R69" s="1">
        <f t="shared" si="17"/>
        <v>0</v>
      </c>
      <c r="S69" s="1">
        <f t="shared" si="18"/>
        <v>0</v>
      </c>
      <c r="T69" s="1">
        <f t="shared" si="19"/>
        <v>0</v>
      </c>
      <c r="U69" s="1">
        <f t="shared" si="20"/>
        <v>0</v>
      </c>
    </row>
    <row r="70" spans="1:21" ht="20" customHeight="1" x14ac:dyDescent="0.15">
      <c r="A70" s="8">
        <v>238</v>
      </c>
      <c r="B70" s="9" t="s">
        <v>48</v>
      </c>
      <c r="C70" s="41">
        <f t="shared" si="14"/>
        <v>44249</v>
      </c>
      <c r="D70" s="10" t="s">
        <v>22</v>
      </c>
      <c r="E70" s="36" t="str">
        <f t="shared" si="11"/>
        <v>instagram_tier2</v>
      </c>
      <c r="F70" s="10" t="s">
        <v>14</v>
      </c>
      <c r="G70" s="11">
        <v>983498</v>
      </c>
      <c r="H70" s="11">
        <v>2190892</v>
      </c>
      <c r="I70" s="12">
        <v>19196.599999999999</v>
      </c>
      <c r="J70" s="40">
        <f t="shared" si="12"/>
        <v>4.656550847782547E-3</v>
      </c>
      <c r="K70" s="11">
        <v>10202</v>
      </c>
      <c r="L70" s="6" t="b">
        <f t="shared" si="13"/>
        <v>0</v>
      </c>
      <c r="M70" s="11">
        <v>124</v>
      </c>
      <c r="N70" s="6" t="b">
        <f t="shared" si="15"/>
        <v>0</v>
      </c>
      <c r="O70" s="11">
        <v>7</v>
      </c>
      <c r="P70" s="6" t="b">
        <f t="shared" si="16"/>
        <v>0</v>
      </c>
      <c r="Q70" s="12">
        <v>14602</v>
      </c>
      <c r="R70" s="1">
        <f t="shared" si="17"/>
        <v>0</v>
      </c>
      <c r="S70" s="1">
        <f t="shared" si="18"/>
        <v>0</v>
      </c>
      <c r="T70" s="1">
        <f t="shared" si="19"/>
        <v>0</v>
      </c>
      <c r="U70" s="1">
        <f t="shared" si="20"/>
        <v>0</v>
      </c>
    </row>
    <row r="71" spans="1:21" ht="20" customHeight="1" x14ac:dyDescent="0.15">
      <c r="A71" s="8">
        <v>204</v>
      </c>
      <c r="B71" s="9" t="s">
        <v>45</v>
      </c>
      <c r="C71" s="41">
        <f t="shared" si="14"/>
        <v>44246</v>
      </c>
      <c r="D71" s="10" t="s">
        <v>21</v>
      </c>
      <c r="E71" s="36" t="str">
        <f t="shared" si="11"/>
        <v>instagram_tier1</v>
      </c>
      <c r="F71" s="10" t="s">
        <v>14</v>
      </c>
      <c r="G71" s="11">
        <v>9034945</v>
      </c>
      <c r="H71" s="11">
        <v>6168252</v>
      </c>
      <c r="I71" s="12">
        <v>300775</v>
      </c>
      <c r="J71" s="40">
        <f t="shared" si="12"/>
        <v>4.8148162558857843E-3</v>
      </c>
      <c r="K71" s="11">
        <v>29699</v>
      </c>
      <c r="L71" s="6" t="b">
        <f t="shared" si="13"/>
        <v>0</v>
      </c>
      <c r="M71" s="11">
        <v>1082</v>
      </c>
      <c r="N71" s="6" t="b">
        <f t="shared" si="15"/>
        <v>0</v>
      </c>
      <c r="O71" s="11">
        <v>96</v>
      </c>
      <c r="P71" s="6" t="b">
        <f t="shared" si="16"/>
        <v>0</v>
      </c>
      <c r="Q71" s="12">
        <v>574176</v>
      </c>
      <c r="R71" s="1">
        <f t="shared" si="17"/>
        <v>0</v>
      </c>
      <c r="S71" s="1">
        <f t="shared" si="18"/>
        <v>0</v>
      </c>
      <c r="T71" s="1">
        <f t="shared" si="19"/>
        <v>0</v>
      </c>
      <c r="U71" s="1">
        <f t="shared" si="20"/>
        <v>0</v>
      </c>
    </row>
    <row r="72" spans="1:21" ht="20" customHeight="1" x14ac:dyDescent="0.15">
      <c r="A72" s="8">
        <v>182</v>
      </c>
      <c r="B72" s="9" t="s">
        <v>43</v>
      </c>
      <c r="C72" s="41">
        <f t="shared" si="14"/>
        <v>44244</v>
      </c>
      <c r="D72" s="10" t="s">
        <v>21</v>
      </c>
      <c r="E72" s="36" t="str">
        <f t="shared" si="11"/>
        <v>instagram_tier1</v>
      </c>
      <c r="F72" s="10" t="s">
        <v>14</v>
      </c>
      <c r="G72" s="11">
        <v>9034945</v>
      </c>
      <c r="H72" s="11">
        <v>4999407</v>
      </c>
      <c r="I72" s="12">
        <v>246023</v>
      </c>
      <c r="J72" s="40">
        <f t="shared" si="12"/>
        <v>4.859376322031793E-3</v>
      </c>
      <c r="K72" s="11">
        <v>24294</v>
      </c>
      <c r="L72" s="6" t="b">
        <f t="shared" si="13"/>
        <v>0</v>
      </c>
      <c r="M72" s="11">
        <v>606</v>
      </c>
      <c r="N72" s="6" t="b">
        <f t="shared" si="15"/>
        <v>0</v>
      </c>
      <c r="O72" s="11">
        <v>73</v>
      </c>
      <c r="P72" s="6" t="b">
        <f t="shared" si="16"/>
        <v>0</v>
      </c>
      <c r="Q72" s="12">
        <v>496546</v>
      </c>
      <c r="R72" s="1">
        <f t="shared" si="17"/>
        <v>0</v>
      </c>
      <c r="S72" s="1">
        <f t="shared" si="18"/>
        <v>0</v>
      </c>
      <c r="T72" s="1">
        <f t="shared" si="19"/>
        <v>0</v>
      </c>
      <c r="U72" s="1">
        <f t="shared" si="20"/>
        <v>0</v>
      </c>
    </row>
    <row r="73" spans="1:21" ht="20" customHeight="1" x14ac:dyDescent="0.15">
      <c r="A73" s="8">
        <v>178</v>
      </c>
      <c r="B73" s="9" t="s">
        <v>43</v>
      </c>
      <c r="C73" s="41">
        <f t="shared" si="14"/>
        <v>44244</v>
      </c>
      <c r="D73" s="10" t="s">
        <v>15</v>
      </c>
      <c r="E73" s="36" t="str">
        <f t="shared" si="11"/>
        <v>facebook_tier2</v>
      </c>
      <c r="F73" s="10" t="s">
        <v>14</v>
      </c>
      <c r="G73" s="11">
        <v>348934</v>
      </c>
      <c r="H73" s="11">
        <v>6102420</v>
      </c>
      <c r="I73" s="12">
        <v>403691</v>
      </c>
      <c r="J73" s="40">
        <f t="shared" si="12"/>
        <v>4.8675771251405183E-3</v>
      </c>
      <c r="K73" s="11">
        <v>29704</v>
      </c>
      <c r="L73" s="6" t="b">
        <f t="shared" si="13"/>
        <v>0</v>
      </c>
      <c r="M73" s="11">
        <v>594</v>
      </c>
      <c r="N73" s="6" t="b">
        <f t="shared" si="15"/>
        <v>0</v>
      </c>
      <c r="O73" s="11">
        <v>61</v>
      </c>
      <c r="P73" s="6" t="b">
        <f t="shared" si="16"/>
        <v>0</v>
      </c>
      <c r="Q73" s="12">
        <v>303841</v>
      </c>
      <c r="R73" s="1">
        <f t="shared" si="17"/>
        <v>0</v>
      </c>
      <c r="S73" s="1">
        <f t="shared" si="18"/>
        <v>0</v>
      </c>
      <c r="T73" s="1">
        <f t="shared" si="19"/>
        <v>0</v>
      </c>
      <c r="U73" s="1">
        <f t="shared" si="20"/>
        <v>0</v>
      </c>
    </row>
    <row r="74" spans="1:21" ht="20" customHeight="1" x14ac:dyDescent="0.15">
      <c r="A74" s="8">
        <v>226</v>
      </c>
      <c r="B74" s="9" t="s">
        <v>47</v>
      </c>
      <c r="C74" s="41">
        <f t="shared" si="14"/>
        <v>44248</v>
      </c>
      <c r="D74" s="10" t="s">
        <v>21</v>
      </c>
      <c r="E74" s="36" t="str">
        <f t="shared" si="11"/>
        <v>instagram_tier1</v>
      </c>
      <c r="F74" s="10" t="s">
        <v>14</v>
      </c>
      <c r="G74" s="11">
        <v>9034945</v>
      </c>
      <c r="H74" s="11">
        <v>555915</v>
      </c>
      <c r="I74" s="12">
        <v>29457.5</v>
      </c>
      <c r="J74" s="40">
        <f t="shared" si="12"/>
        <v>4.8730471385013893E-3</v>
      </c>
      <c r="K74" s="11">
        <v>2709</v>
      </c>
      <c r="L74" s="6" t="b">
        <f t="shared" si="13"/>
        <v>0</v>
      </c>
      <c r="M74" s="11">
        <v>60</v>
      </c>
      <c r="N74" s="6" t="b">
        <f t="shared" si="15"/>
        <v>0</v>
      </c>
      <c r="O74" s="11">
        <v>10</v>
      </c>
      <c r="P74" s="6" t="b">
        <f t="shared" si="16"/>
        <v>0</v>
      </c>
      <c r="Q74" s="12">
        <v>55540</v>
      </c>
      <c r="R74" s="1">
        <f t="shared" si="17"/>
        <v>0</v>
      </c>
      <c r="S74" s="1">
        <f t="shared" si="18"/>
        <v>0</v>
      </c>
      <c r="T74" s="1">
        <f t="shared" si="19"/>
        <v>0</v>
      </c>
      <c r="U74" s="1">
        <f t="shared" si="20"/>
        <v>0</v>
      </c>
    </row>
    <row r="75" spans="1:21" ht="20" customHeight="1" x14ac:dyDescent="0.15">
      <c r="A75" s="8">
        <v>7</v>
      </c>
      <c r="B75" s="9" t="s">
        <v>12</v>
      </c>
      <c r="C75" s="41">
        <f t="shared" si="14"/>
        <v>44228</v>
      </c>
      <c r="D75" s="10" t="s">
        <v>22</v>
      </c>
      <c r="E75" s="36" t="str">
        <f t="shared" si="11"/>
        <v>instagram_tier2</v>
      </c>
      <c r="F75" s="10" t="s">
        <v>14</v>
      </c>
      <c r="G75" s="11">
        <v>983498</v>
      </c>
      <c r="H75" s="11">
        <v>511200</v>
      </c>
      <c r="I75" s="12">
        <v>3648.9</v>
      </c>
      <c r="J75" s="40">
        <f t="shared" si="12"/>
        <v>5.0000000000000001E-3</v>
      </c>
      <c r="K75" s="11">
        <v>2556</v>
      </c>
      <c r="L75" s="6" t="b">
        <f t="shared" si="13"/>
        <v>0</v>
      </c>
      <c r="M75" s="11">
        <v>94</v>
      </c>
      <c r="N75" s="6" t="b">
        <f t="shared" si="15"/>
        <v>0</v>
      </c>
      <c r="O75" s="11">
        <v>1</v>
      </c>
      <c r="P75" s="6" t="b">
        <f t="shared" si="16"/>
        <v>0</v>
      </c>
      <c r="Q75" s="12">
        <v>1981</v>
      </c>
      <c r="R75" s="1">
        <f t="shared" si="17"/>
        <v>0</v>
      </c>
      <c r="S75" s="1">
        <f t="shared" si="18"/>
        <v>0</v>
      </c>
      <c r="T75" s="1">
        <f t="shared" si="19"/>
        <v>0</v>
      </c>
      <c r="U75" s="1">
        <f t="shared" si="20"/>
        <v>0</v>
      </c>
    </row>
    <row r="76" spans="1:21" ht="20" customHeight="1" x14ac:dyDescent="0.15">
      <c r="A76" s="8">
        <v>12</v>
      </c>
      <c r="B76" s="9" t="s">
        <v>28</v>
      </c>
      <c r="C76" s="41">
        <f t="shared" si="14"/>
        <v>44229</v>
      </c>
      <c r="D76" s="10" t="s">
        <v>13</v>
      </c>
      <c r="E76" s="36" t="str">
        <f t="shared" si="11"/>
        <v>facebook_tier1</v>
      </c>
      <c r="F76" s="10" t="s">
        <v>14</v>
      </c>
      <c r="G76" s="11">
        <v>349043</v>
      </c>
      <c r="H76" s="11">
        <v>478200</v>
      </c>
      <c r="I76" s="12">
        <v>18385.3</v>
      </c>
      <c r="J76" s="40">
        <f t="shared" si="12"/>
        <v>5.0000000000000001E-3</v>
      </c>
      <c r="K76" s="11">
        <v>2391</v>
      </c>
      <c r="L76" s="6" t="b">
        <f t="shared" si="13"/>
        <v>0</v>
      </c>
      <c r="M76" s="11">
        <v>48</v>
      </c>
      <c r="N76" s="6" t="b">
        <f t="shared" si="15"/>
        <v>0</v>
      </c>
      <c r="O76" s="11">
        <v>4</v>
      </c>
      <c r="P76" s="6" t="b">
        <f t="shared" si="16"/>
        <v>0</v>
      </c>
      <c r="Q76" s="12">
        <v>17812</v>
      </c>
      <c r="R76" s="1">
        <f t="shared" si="17"/>
        <v>0</v>
      </c>
      <c r="S76" s="1">
        <f t="shared" si="18"/>
        <v>0</v>
      </c>
      <c r="T76" s="1">
        <f t="shared" si="19"/>
        <v>0</v>
      </c>
      <c r="U76" s="1">
        <f t="shared" si="20"/>
        <v>0</v>
      </c>
    </row>
    <row r="77" spans="1:21" ht="20" customHeight="1" x14ac:dyDescent="0.15">
      <c r="A77" s="8">
        <v>17</v>
      </c>
      <c r="B77" s="9" t="s">
        <v>28</v>
      </c>
      <c r="C77" s="41">
        <f t="shared" si="14"/>
        <v>44229</v>
      </c>
      <c r="D77" s="10" t="s">
        <v>21</v>
      </c>
      <c r="E77" s="36" t="str">
        <f t="shared" si="11"/>
        <v>instagram_tier1</v>
      </c>
      <c r="F77" s="10" t="s">
        <v>14</v>
      </c>
      <c r="G77" s="11">
        <v>9034945</v>
      </c>
      <c r="H77" s="11">
        <v>540200</v>
      </c>
      <c r="I77" s="12">
        <v>29081.1</v>
      </c>
      <c r="J77" s="40">
        <f t="shared" si="12"/>
        <v>5.0000000000000001E-3</v>
      </c>
      <c r="K77" s="11">
        <v>2701</v>
      </c>
      <c r="L77" s="6" t="b">
        <f t="shared" si="13"/>
        <v>0</v>
      </c>
      <c r="M77" s="11">
        <v>54</v>
      </c>
      <c r="N77" s="6" t="b">
        <f t="shared" si="15"/>
        <v>0</v>
      </c>
      <c r="O77" s="11">
        <v>9</v>
      </c>
      <c r="P77" s="6" t="b">
        <f t="shared" si="16"/>
        <v>0</v>
      </c>
      <c r="Q77" s="12">
        <v>45585</v>
      </c>
      <c r="R77" s="1">
        <f t="shared" si="17"/>
        <v>0</v>
      </c>
      <c r="S77" s="1">
        <f t="shared" si="18"/>
        <v>0</v>
      </c>
      <c r="T77" s="1">
        <f t="shared" si="19"/>
        <v>0</v>
      </c>
      <c r="U77" s="1">
        <f t="shared" si="20"/>
        <v>0</v>
      </c>
    </row>
    <row r="78" spans="1:21" ht="20" customHeight="1" x14ac:dyDescent="0.15">
      <c r="A78" s="8">
        <v>18</v>
      </c>
      <c r="B78" s="9" t="s">
        <v>28</v>
      </c>
      <c r="C78" s="41">
        <f t="shared" si="14"/>
        <v>44229</v>
      </c>
      <c r="D78" s="10" t="s">
        <v>22</v>
      </c>
      <c r="E78" s="36" t="str">
        <f t="shared" si="11"/>
        <v>instagram_tier2</v>
      </c>
      <c r="F78" s="10" t="s">
        <v>14</v>
      </c>
      <c r="G78" s="11">
        <v>983498</v>
      </c>
      <c r="H78" s="11">
        <v>1020800</v>
      </c>
      <c r="I78" s="13">
        <v>1421.34</v>
      </c>
      <c r="J78" s="40">
        <f t="shared" si="12"/>
        <v>5.0000000000000001E-3</v>
      </c>
      <c r="K78" s="11">
        <v>5104</v>
      </c>
      <c r="L78" s="6" t="b">
        <f t="shared" si="13"/>
        <v>0</v>
      </c>
      <c r="M78" s="11">
        <v>14</v>
      </c>
      <c r="N78" s="6" t="b">
        <f t="shared" si="15"/>
        <v>0</v>
      </c>
      <c r="O78" s="11">
        <v>0</v>
      </c>
      <c r="P78" s="6" t="b">
        <f t="shared" si="16"/>
        <v>0</v>
      </c>
      <c r="Q78" s="12">
        <v>0</v>
      </c>
      <c r="R78" s="1">
        <f t="shared" si="17"/>
        <v>0</v>
      </c>
      <c r="S78" s="1">
        <f t="shared" si="18"/>
        <v>0</v>
      </c>
      <c r="T78" s="1">
        <f t="shared" si="19"/>
        <v>0</v>
      </c>
      <c r="U78" s="1">
        <f t="shared" si="20"/>
        <v>0</v>
      </c>
    </row>
    <row r="79" spans="1:21" ht="20" customHeight="1" x14ac:dyDescent="0.15">
      <c r="A79" s="8">
        <v>28</v>
      </c>
      <c r="B79" s="9" t="s">
        <v>29</v>
      </c>
      <c r="C79" s="41">
        <f t="shared" si="14"/>
        <v>44230</v>
      </c>
      <c r="D79" s="10" t="s">
        <v>21</v>
      </c>
      <c r="E79" s="36" t="str">
        <f t="shared" si="11"/>
        <v>instagram_tier1</v>
      </c>
      <c r="F79" s="10" t="s">
        <v>14</v>
      </c>
      <c r="G79" s="11">
        <v>9034945</v>
      </c>
      <c r="H79" s="11">
        <v>1618600</v>
      </c>
      <c r="I79" s="12">
        <v>62509.8</v>
      </c>
      <c r="J79" s="40">
        <f t="shared" si="12"/>
        <v>5.0000000000000001E-3</v>
      </c>
      <c r="K79" s="11">
        <v>8093</v>
      </c>
      <c r="L79" s="6" t="b">
        <f t="shared" si="13"/>
        <v>0</v>
      </c>
      <c r="M79" s="11">
        <v>166</v>
      </c>
      <c r="N79" s="6" t="b">
        <f t="shared" si="15"/>
        <v>0</v>
      </c>
      <c r="O79" s="11">
        <v>15</v>
      </c>
      <c r="P79" s="6" t="b">
        <f t="shared" si="16"/>
        <v>0</v>
      </c>
      <c r="Q79" s="12">
        <v>84600</v>
      </c>
      <c r="R79" s="1">
        <f t="shared" si="17"/>
        <v>0</v>
      </c>
      <c r="S79" s="1">
        <f t="shared" si="18"/>
        <v>0</v>
      </c>
      <c r="T79" s="1">
        <f t="shared" si="19"/>
        <v>0</v>
      </c>
      <c r="U79" s="1">
        <f t="shared" si="20"/>
        <v>0</v>
      </c>
    </row>
    <row r="80" spans="1:21" ht="20" customHeight="1" x14ac:dyDescent="0.15">
      <c r="A80" s="8">
        <v>29</v>
      </c>
      <c r="B80" s="9" t="s">
        <v>29</v>
      </c>
      <c r="C80" s="41">
        <f t="shared" si="14"/>
        <v>44230</v>
      </c>
      <c r="D80" s="10" t="s">
        <v>22</v>
      </c>
      <c r="E80" s="36" t="str">
        <f t="shared" si="11"/>
        <v>instagram_tier2</v>
      </c>
      <c r="F80" s="10" t="s">
        <v>14</v>
      </c>
      <c r="G80" s="11">
        <v>983498</v>
      </c>
      <c r="H80" s="11">
        <v>3059600</v>
      </c>
      <c r="I80" s="12">
        <v>94399.9</v>
      </c>
      <c r="J80" s="40">
        <f t="shared" si="12"/>
        <v>5.0000000000000001E-3</v>
      </c>
      <c r="K80" s="11">
        <v>15298</v>
      </c>
      <c r="L80" s="6" t="b">
        <f t="shared" si="13"/>
        <v>0</v>
      </c>
      <c r="M80" s="11">
        <v>592</v>
      </c>
      <c r="N80" s="6" t="b">
        <f t="shared" si="15"/>
        <v>0</v>
      </c>
      <c r="O80" s="11">
        <v>36</v>
      </c>
      <c r="P80" s="6" t="b">
        <f t="shared" si="16"/>
        <v>0</v>
      </c>
      <c r="Q80" s="12">
        <v>104184</v>
      </c>
      <c r="R80" s="1">
        <f t="shared" si="17"/>
        <v>0</v>
      </c>
      <c r="S80" s="1">
        <f t="shared" si="18"/>
        <v>0</v>
      </c>
      <c r="T80" s="1">
        <f t="shared" si="19"/>
        <v>0</v>
      </c>
      <c r="U80" s="1">
        <f t="shared" si="20"/>
        <v>0</v>
      </c>
    </row>
    <row r="81" spans="1:21" ht="20" customHeight="1" x14ac:dyDescent="0.15">
      <c r="A81" s="8">
        <v>46</v>
      </c>
      <c r="B81" s="9" t="s">
        <v>31</v>
      </c>
      <c r="C81" s="41">
        <f t="shared" si="14"/>
        <v>44232</v>
      </c>
      <c r="D81" s="10" t="s">
        <v>15</v>
      </c>
      <c r="E81" s="36" t="str">
        <f t="shared" si="11"/>
        <v>facebook_tier2</v>
      </c>
      <c r="F81" s="10" t="s">
        <v>14</v>
      </c>
      <c r="G81" s="11">
        <v>348934</v>
      </c>
      <c r="H81" s="11">
        <v>3299600</v>
      </c>
      <c r="I81" s="12">
        <v>261047</v>
      </c>
      <c r="J81" s="40">
        <f t="shared" si="12"/>
        <v>5.0000000000000001E-3</v>
      </c>
      <c r="K81" s="11">
        <v>16498</v>
      </c>
      <c r="L81" s="6" t="b">
        <f t="shared" si="13"/>
        <v>0</v>
      </c>
      <c r="M81" s="11">
        <v>330</v>
      </c>
      <c r="N81" s="6" t="b">
        <f t="shared" si="15"/>
        <v>0</v>
      </c>
      <c r="O81" s="11">
        <v>42</v>
      </c>
      <c r="P81" s="6" t="b">
        <f t="shared" si="16"/>
        <v>0</v>
      </c>
      <c r="Q81" s="12">
        <v>209202</v>
      </c>
      <c r="R81" s="1">
        <f t="shared" si="17"/>
        <v>0</v>
      </c>
      <c r="S81" s="1">
        <f t="shared" si="18"/>
        <v>0</v>
      </c>
      <c r="T81" s="1">
        <f t="shared" si="19"/>
        <v>0</v>
      </c>
      <c r="U81" s="1">
        <f t="shared" si="20"/>
        <v>0</v>
      </c>
    </row>
    <row r="82" spans="1:21" ht="20" customHeight="1" x14ac:dyDescent="0.15">
      <c r="A82" s="8">
        <v>51</v>
      </c>
      <c r="B82" s="9" t="s">
        <v>31</v>
      </c>
      <c r="C82" s="41">
        <f t="shared" si="14"/>
        <v>44232</v>
      </c>
      <c r="D82" s="10" t="s">
        <v>22</v>
      </c>
      <c r="E82" s="36" t="str">
        <f t="shared" si="11"/>
        <v>instagram_tier2</v>
      </c>
      <c r="F82" s="10" t="s">
        <v>14</v>
      </c>
      <c r="G82" s="11">
        <v>983498</v>
      </c>
      <c r="H82" s="11">
        <v>5100600</v>
      </c>
      <c r="I82" s="12">
        <v>13588.8</v>
      </c>
      <c r="J82" s="40">
        <f t="shared" si="12"/>
        <v>5.0000000000000001E-3</v>
      </c>
      <c r="K82" s="11">
        <v>25503</v>
      </c>
      <c r="L82" s="6" t="b">
        <f t="shared" si="13"/>
        <v>0</v>
      </c>
      <c r="M82" s="11">
        <v>765</v>
      </c>
      <c r="N82" s="6" t="b">
        <f t="shared" si="15"/>
        <v>0</v>
      </c>
      <c r="O82" s="11">
        <v>4</v>
      </c>
      <c r="P82" s="6" t="b">
        <f t="shared" si="16"/>
        <v>0</v>
      </c>
      <c r="Q82" s="12">
        <v>7924</v>
      </c>
      <c r="R82" s="1">
        <f t="shared" si="17"/>
        <v>0</v>
      </c>
      <c r="S82" s="1">
        <f t="shared" si="18"/>
        <v>0</v>
      </c>
      <c r="T82" s="1">
        <f t="shared" si="19"/>
        <v>0</v>
      </c>
      <c r="U82" s="1">
        <f t="shared" si="20"/>
        <v>0</v>
      </c>
    </row>
    <row r="83" spans="1:21" ht="20" customHeight="1" x14ac:dyDescent="0.15">
      <c r="A83" s="8">
        <v>59</v>
      </c>
      <c r="B83" s="9" t="s">
        <v>32</v>
      </c>
      <c r="C83" s="41">
        <f t="shared" si="14"/>
        <v>44233</v>
      </c>
      <c r="D83" s="10" t="s">
        <v>18</v>
      </c>
      <c r="E83" s="36" t="str">
        <f t="shared" si="11"/>
        <v>google_wide</v>
      </c>
      <c r="F83" s="10" t="s">
        <v>17</v>
      </c>
      <c r="G83" s="11">
        <v>127823</v>
      </c>
      <c r="H83" s="11">
        <v>478400</v>
      </c>
      <c r="I83" s="12">
        <v>22542</v>
      </c>
      <c r="J83" s="40">
        <f t="shared" si="12"/>
        <v>5.0000000000000001E-3</v>
      </c>
      <c r="K83" s="11">
        <v>2392</v>
      </c>
      <c r="L83" s="6" t="b">
        <f t="shared" si="13"/>
        <v>0</v>
      </c>
      <c r="M83" s="11">
        <v>48</v>
      </c>
      <c r="N83" s="6" t="b">
        <f t="shared" si="15"/>
        <v>0</v>
      </c>
      <c r="O83" s="11">
        <v>6</v>
      </c>
      <c r="P83" s="6" t="b">
        <f t="shared" si="16"/>
        <v>0</v>
      </c>
      <c r="Q83" s="12">
        <v>13152</v>
      </c>
      <c r="R83" s="1">
        <f t="shared" si="17"/>
        <v>0</v>
      </c>
      <c r="S83" s="1">
        <f t="shared" si="18"/>
        <v>0</v>
      </c>
      <c r="T83" s="1">
        <f t="shared" si="19"/>
        <v>0</v>
      </c>
      <c r="U83" s="1">
        <f t="shared" si="20"/>
        <v>0</v>
      </c>
    </row>
    <row r="84" spans="1:21" ht="20" customHeight="1" x14ac:dyDescent="0.15">
      <c r="A84" s="8">
        <v>67</v>
      </c>
      <c r="B84" s="9" t="s">
        <v>33</v>
      </c>
      <c r="C84" s="41">
        <f t="shared" si="14"/>
        <v>44234</v>
      </c>
      <c r="D84" s="10" t="s">
        <v>13</v>
      </c>
      <c r="E84" s="36" t="str">
        <f t="shared" si="11"/>
        <v>facebook_tier1</v>
      </c>
      <c r="F84" s="10" t="s">
        <v>14</v>
      </c>
      <c r="G84" s="11">
        <v>349043</v>
      </c>
      <c r="H84" s="11">
        <v>478000</v>
      </c>
      <c r="I84" s="12">
        <v>27314.400000000001</v>
      </c>
      <c r="J84" s="40">
        <f t="shared" si="12"/>
        <v>5.0000000000000001E-3</v>
      </c>
      <c r="K84" s="11">
        <v>2390</v>
      </c>
      <c r="L84" s="6" t="b">
        <f t="shared" si="13"/>
        <v>0</v>
      </c>
      <c r="M84" s="11">
        <v>45</v>
      </c>
      <c r="N84" s="6" t="b">
        <f t="shared" si="15"/>
        <v>0</v>
      </c>
      <c r="O84" s="11">
        <v>5</v>
      </c>
      <c r="P84" s="6" t="b">
        <f t="shared" si="16"/>
        <v>0</v>
      </c>
      <c r="Q84" s="12">
        <v>24905</v>
      </c>
      <c r="R84" s="1">
        <f t="shared" si="17"/>
        <v>0</v>
      </c>
      <c r="S84" s="1">
        <f t="shared" si="18"/>
        <v>0</v>
      </c>
      <c r="T84" s="1">
        <f t="shared" si="19"/>
        <v>0</v>
      </c>
      <c r="U84" s="1">
        <f t="shared" si="20"/>
        <v>0</v>
      </c>
    </row>
    <row r="85" spans="1:21" ht="20" customHeight="1" x14ac:dyDescent="0.15">
      <c r="A85" s="8">
        <v>68</v>
      </c>
      <c r="B85" s="9" t="s">
        <v>33</v>
      </c>
      <c r="C85" s="41">
        <f t="shared" si="14"/>
        <v>44234</v>
      </c>
      <c r="D85" s="10" t="s">
        <v>15</v>
      </c>
      <c r="E85" s="36" t="str">
        <f t="shared" si="11"/>
        <v>facebook_tier2</v>
      </c>
      <c r="F85" s="10" t="s">
        <v>14</v>
      </c>
      <c r="G85" s="11">
        <v>348934</v>
      </c>
      <c r="H85" s="11">
        <v>659000</v>
      </c>
      <c r="I85" s="12">
        <v>38485.599999999999</v>
      </c>
      <c r="J85" s="40">
        <f t="shared" si="12"/>
        <v>5.0000000000000001E-3</v>
      </c>
      <c r="K85" s="11">
        <v>3295</v>
      </c>
      <c r="L85" s="6" t="b">
        <f t="shared" si="13"/>
        <v>0</v>
      </c>
      <c r="M85" s="11">
        <v>66</v>
      </c>
      <c r="N85" s="6" t="b">
        <f t="shared" si="15"/>
        <v>0</v>
      </c>
      <c r="O85" s="11">
        <v>5</v>
      </c>
      <c r="P85" s="6" t="b">
        <f t="shared" si="16"/>
        <v>0</v>
      </c>
      <c r="Q85" s="12">
        <v>23735</v>
      </c>
      <c r="R85" s="1">
        <f t="shared" si="17"/>
        <v>0</v>
      </c>
      <c r="S85" s="1">
        <f t="shared" si="18"/>
        <v>0</v>
      </c>
      <c r="T85" s="1">
        <f t="shared" si="19"/>
        <v>0</v>
      </c>
      <c r="U85" s="1">
        <f t="shared" si="20"/>
        <v>0</v>
      </c>
    </row>
    <row r="86" spans="1:21" ht="20" customHeight="1" x14ac:dyDescent="0.15">
      <c r="A86" s="8">
        <v>78</v>
      </c>
      <c r="B86" s="9" t="s">
        <v>34</v>
      </c>
      <c r="C86" s="41">
        <f t="shared" si="14"/>
        <v>44235</v>
      </c>
      <c r="D86" s="10" t="s">
        <v>13</v>
      </c>
      <c r="E86" s="36" t="str">
        <f t="shared" si="11"/>
        <v>facebook_tier1</v>
      </c>
      <c r="F86" s="10" t="s">
        <v>14</v>
      </c>
      <c r="G86" s="11">
        <v>349043</v>
      </c>
      <c r="H86" s="11">
        <v>479000</v>
      </c>
      <c r="I86" s="12">
        <v>27210.400000000001</v>
      </c>
      <c r="J86" s="40">
        <f t="shared" si="12"/>
        <v>5.0000000000000001E-3</v>
      </c>
      <c r="K86" s="11">
        <v>2395</v>
      </c>
      <c r="L86" s="6" t="b">
        <f t="shared" si="13"/>
        <v>0</v>
      </c>
      <c r="M86" s="11">
        <v>36</v>
      </c>
      <c r="N86" s="6" t="b">
        <f t="shared" si="15"/>
        <v>0</v>
      </c>
      <c r="O86" s="11">
        <v>5</v>
      </c>
      <c r="P86" s="6" t="b">
        <f t="shared" si="16"/>
        <v>0</v>
      </c>
      <c r="Q86" s="12">
        <v>22345</v>
      </c>
      <c r="R86" s="1">
        <f t="shared" si="17"/>
        <v>0</v>
      </c>
      <c r="S86" s="1">
        <f t="shared" si="18"/>
        <v>0</v>
      </c>
      <c r="T86" s="1">
        <f t="shared" si="19"/>
        <v>0</v>
      </c>
      <c r="U86" s="1">
        <f t="shared" si="20"/>
        <v>0</v>
      </c>
    </row>
    <row r="87" spans="1:21" ht="20" customHeight="1" x14ac:dyDescent="0.15">
      <c r="A87" s="8">
        <v>81</v>
      </c>
      <c r="B87" s="9" t="s">
        <v>34</v>
      </c>
      <c r="C87" s="41">
        <f t="shared" si="14"/>
        <v>44235</v>
      </c>
      <c r="D87" s="10" t="s">
        <v>18</v>
      </c>
      <c r="E87" s="36" t="str">
        <f t="shared" si="11"/>
        <v>google_wide</v>
      </c>
      <c r="F87" s="10" t="s">
        <v>17</v>
      </c>
      <c r="G87" s="11">
        <v>127823</v>
      </c>
      <c r="H87" s="11">
        <v>478000</v>
      </c>
      <c r="I87" s="12">
        <v>16567.5</v>
      </c>
      <c r="J87" s="40">
        <f t="shared" si="12"/>
        <v>5.0000000000000001E-3</v>
      </c>
      <c r="K87" s="11">
        <v>2390</v>
      </c>
      <c r="L87" s="6" t="b">
        <f t="shared" si="13"/>
        <v>0</v>
      </c>
      <c r="M87" s="11">
        <v>48</v>
      </c>
      <c r="N87" s="6" t="b">
        <f t="shared" si="15"/>
        <v>0</v>
      </c>
      <c r="O87" s="11">
        <v>5</v>
      </c>
      <c r="P87" s="6" t="b">
        <f t="shared" si="16"/>
        <v>0</v>
      </c>
      <c r="Q87" s="12">
        <v>16995</v>
      </c>
      <c r="R87" s="1">
        <f t="shared" si="17"/>
        <v>0</v>
      </c>
      <c r="S87" s="1">
        <f t="shared" si="18"/>
        <v>0</v>
      </c>
      <c r="T87" s="1">
        <f t="shared" si="19"/>
        <v>0</v>
      </c>
      <c r="U87" s="1">
        <f t="shared" si="20"/>
        <v>0</v>
      </c>
    </row>
    <row r="88" spans="1:21" ht="20" customHeight="1" x14ac:dyDescent="0.15">
      <c r="A88" s="8">
        <v>84</v>
      </c>
      <c r="B88" s="9" t="s">
        <v>34</v>
      </c>
      <c r="C88" s="41">
        <f t="shared" si="14"/>
        <v>44235</v>
      </c>
      <c r="D88" s="10" t="s">
        <v>22</v>
      </c>
      <c r="E88" s="36" t="str">
        <f t="shared" si="11"/>
        <v>instagram_tier2</v>
      </c>
      <c r="F88" s="10" t="s">
        <v>14</v>
      </c>
      <c r="G88" s="11">
        <v>983498</v>
      </c>
      <c r="H88" s="11">
        <v>1020000</v>
      </c>
      <c r="I88" s="12">
        <v>2057.3000000000002</v>
      </c>
      <c r="J88" s="40">
        <f t="shared" si="12"/>
        <v>5.0000000000000001E-3</v>
      </c>
      <c r="K88" s="11">
        <v>5100</v>
      </c>
      <c r="L88" s="6" t="b">
        <f t="shared" si="13"/>
        <v>0</v>
      </c>
      <c r="M88" s="11">
        <v>102</v>
      </c>
      <c r="N88" s="6" t="b">
        <f t="shared" si="15"/>
        <v>0</v>
      </c>
      <c r="O88" s="11">
        <v>1</v>
      </c>
      <c r="P88" s="6" t="b">
        <f t="shared" si="16"/>
        <v>0</v>
      </c>
      <c r="Q88" s="12">
        <v>1981</v>
      </c>
      <c r="R88" s="1">
        <f t="shared" si="17"/>
        <v>0</v>
      </c>
      <c r="S88" s="1">
        <f t="shared" si="18"/>
        <v>0</v>
      </c>
      <c r="T88" s="1">
        <f t="shared" si="19"/>
        <v>0</v>
      </c>
      <c r="U88" s="1">
        <f t="shared" si="20"/>
        <v>0</v>
      </c>
    </row>
    <row r="89" spans="1:21" ht="20" customHeight="1" x14ac:dyDescent="0.15">
      <c r="A89" s="8">
        <v>89</v>
      </c>
      <c r="B89" s="9" t="s">
        <v>35</v>
      </c>
      <c r="C89" s="41">
        <f t="shared" si="14"/>
        <v>44236</v>
      </c>
      <c r="D89" s="10" t="s">
        <v>13</v>
      </c>
      <c r="E89" s="36" t="str">
        <f t="shared" si="11"/>
        <v>facebook_tier1</v>
      </c>
      <c r="F89" s="10" t="s">
        <v>14</v>
      </c>
      <c r="G89" s="11">
        <v>349043</v>
      </c>
      <c r="H89" s="11">
        <v>478600</v>
      </c>
      <c r="I89" s="12">
        <v>49036.5</v>
      </c>
      <c r="J89" s="40">
        <f t="shared" si="12"/>
        <v>5.0000000000000001E-3</v>
      </c>
      <c r="K89" s="11">
        <v>2393</v>
      </c>
      <c r="L89" s="6" t="b">
        <f t="shared" si="13"/>
        <v>0</v>
      </c>
      <c r="M89" s="11">
        <v>68</v>
      </c>
      <c r="N89" s="6" t="b">
        <f t="shared" si="15"/>
        <v>0</v>
      </c>
      <c r="O89" s="11">
        <v>9</v>
      </c>
      <c r="P89" s="6" t="b">
        <f t="shared" si="16"/>
        <v>0</v>
      </c>
      <c r="Q89" s="12">
        <v>42813</v>
      </c>
      <c r="R89" s="1">
        <f t="shared" si="17"/>
        <v>0</v>
      </c>
      <c r="S89" s="1">
        <f t="shared" si="18"/>
        <v>0</v>
      </c>
      <c r="T89" s="1">
        <f t="shared" si="19"/>
        <v>0</v>
      </c>
      <c r="U89" s="1">
        <f t="shared" si="20"/>
        <v>0</v>
      </c>
    </row>
    <row r="90" spans="1:21" ht="20" customHeight="1" x14ac:dyDescent="0.15">
      <c r="A90" s="8">
        <v>92</v>
      </c>
      <c r="B90" s="9" t="s">
        <v>35</v>
      </c>
      <c r="C90" s="41">
        <f t="shared" si="14"/>
        <v>44236</v>
      </c>
      <c r="D90" s="10" t="s">
        <v>18</v>
      </c>
      <c r="E90" s="36" t="str">
        <f t="shared" si="11"/>
        <v>google_wide</v>
      </c>
      <c r="F90" s="10" t="s">
        <v>17</v>
      </c>
      <c r="G90" s="11">
        <v>127823</v>
      </c>
      <c r="H90" s="11">
        <v>478600</v>
      </c>
      <c r="I90" s="12">
        <v>20299.3</v>
      </c>
      <c r="J90" s="40">
        <f t="shared" si="12"/>
        <v>5.0000000000000001E-3</v>
      </c>
      <c r="K90" s="11">
        <v>2393</v>
      </c>
      <c r="L90" s="6" t="b">
        <f t="shared" si="13"/>
        <v>0</v>
      </c>
      <c r="M90" s="11">
        <v>48</v>
      </c>
      <c r="N90" s="6" t="b">
        <f t="shared" si="15"/>
        <v>0</v>
      </c>
      <c r="O90" s="11">
        <v>5</v>
      </c>
      <c r="P90" s="6" t="b">
        <f t="shared" si="16"/>
        <v>0</v>
      </c>
      <c r="Q90" s="12">
        <v>14905</v>
      </c>
      <c r="R90" s="1">
        <f t="shared" si="17"/>
        <v>0</v>
      </c>
      <c r="S90" s="1">
        <f t="shared" si="18"/>
        <v>0</v>
      </c>
      <c r="T90" s="1">
        <f t="shared" si="19"/>
        <v>0</v>
      </c>
      <c r="U90" s="1">
        <f t="shared" si="20"/>
        <v>0</v>
      </c>
    </row>
    <row r="91" spans="1:21" ht="20" customHeight="1" x14ac:dyDescent="0.15">
      <c r="A91" s="8">
        <v>95</v>
      </c>
      <c r="B91" s="9" t="s">
        <v>35</v>
      </c>
      <c r="C91" s="41">
        <f t="shared" si="14"/>
        <v>44236</v>
      </c>
      <c r="D91" s="10" t="s">
        <v>22</v>
      </c>
      <c r="E91" s="36" t="str">
        <f t="shared" si="11"/>
        <v>instagram_tier2</v>
      </c>
      <c r="F91" s="10" t="s">
        <v>14</v>
      </c>
      <c r="G91" s="11">
        <v>983498</v>
      </c>
      <c r="H91" s="11">
        <v>1022000</v>
      </c>
      <c r="I91" s="13">
        <v>7398.26</v>
      </c>
      <c r="J91" s="40">
        <f t="shared" si="12"/>
        <v>5.0000000000000001E-3</v>
      </c>
      <c r="K91" s="11">
        <v>5110</v>
      </c>
      <c r="L91" s="6" t="b">
        <f t="shared" si="13"/>
        <v>0</v>
      </c>
      <c r="M91" s="11">
        <v>102</v>
      </c>
      <c r="N91" s="6" t="b">
        <f t="shared" si="15"/>
        <v>0</v>
      </c>
      <c r="O91" s="11">
        <v>3</v>
      </c>
      <c r="P91" s="6" t="b">
        <f t="shared" si="16"/>
        <v>0</v>
      </c>
      <c r="Q91" s="12">
        <v>5943</v>
      </c>
      <c r="R91" s="1">
        <f t="shared" si="17"/>
        <v>0</v>
      </c>
      <c r="S91" s="1">
        <f t="shared" si="18"/>
        <v>0</v>
      </c>
      <c r="T91" s="1">
        <f t="shared" si="19"/>
        <v>0</v>
      </c>
      <c r="U91" s="1">
        <f t="shared" si="20"/>
        <v>0</v>
      </c>
    </row>
    <row r="92" spans="1:21" ht="20" customHeight="1" x14ac:dyDescent="0.15">
      <c r="A92" s="8">
        <v>100</v>
      </c>
      <c r="B92" s="9" t="s">
        <v>36</v>
      </c>
      <c r="C92" s="41">
        <f t="shared" si="14"/>
        <v>44237</v>
      </c>
      <c r="D92" s="10" t="s">
        <v>13</v>
      </c>
      <c r="E92" s="36" t="str">
        <f t="shared" si="11"/>
        <v>facebook_tier1</v>
      </c>
      <c r="F92" s="10" t="s">
        <v>14</v>
      </c>
      <c r="G92" s="11">
        <v>349043</v>
      </c>
      <c r="H92" s="11">
        <v>961800</v>
      </c>
      <c r="I92" s="12">
        <v>43386.400000000001</v>
      </c>
      <c r="J92" s="40">
        <f t="shared" si="12"/>
        <v>5.0000000000000001E-3</v>
      </c>
      <c r="K92" s="11">
        <v>4809</v>
      </c>
      <c r="L92" s="6" t="b">
        <f t="shared" si="13"/>
        <v>0</v>
      </c>
      <c r="M92" s="11">
        <v>96</v>
      </c>
      <c r="N92" s="6" t="b">
        <f t="shared" si="15"/>
        <v>0</v>
      </c>
      <c r="O92" s="11">
        <v>8</v>
      </c>
      <c r="P92" s="6" t="b">
        <f t="shared" si="16"/>
        <v>0</v>
      </c>
      <c r="Q92" s="12">
        <v>42400</v>
      </c>
      <c r="R92" s="1">
        <f t="shared" si="17"/>
        <v>0</v>
      </c>
      <c r="S92" s="1">
        <f t="shared" si="18"/>
        <v>0</v>
      </c>
      <c r="T92" s="1">
        <f t="shared" si="19"/>
        <v>0</v>
      </c>
      <c r="U92" s="1">
        <f t="shared" si="20"/>
        <v>0</v>
      </c>
    </row>
    <row r="93" spans="1:21" ht="20" customHeight="1" x14ac:dyDescent="0.15">
      <c r="A93" s="8">
        <v>106</v>
      </c>
      <c r="B93" s="9" t="s">
        <v>36</v>
      </c>
      <c r="C93" s="41">
        <f t="shared" si="14"/>
        <v>44237</v>
      </c>
      <c r="D93" s="10" t="s">
        <v>22</v>
      </c>
      <c r="E93" s="36" t="str">
        <f t="shared" si="11"/>
        <v>instagram_tier2</v>
      </c>
      <c r="F93" s="10" t="s">
        <v>14</v>
      </c>
      <c r="G93" s="11">
        <v>983498</v>
      </c>
      <c r="H93" s="11">
        <v>2040000</v>
      </c>
      <c r="I93" s="12">
        <v>14147.9</v>
      </c>
      <c r="J93" s="40">
        <f t="shared" si="12"/>
        <v>5.0000000000000001E-3</v>
      </c>
      <c r="K93" s="11">
        <v>10200</v>
      </c>
      <c r="L93" s="6" t="b">
        <f t="shared" si="13"/>
        <v>0</v>
      </c>
      <c r="M93" s="11">
        <v>395</v>
      </c>
      <c r="N93" s="6" t="b">
        <f t="shared" si="15"/>
        <v>0</v>
      </c>
      <c r="O93" s="11">
        <v>4</v>
      </c>
      <c r="P93" s="6" t="b">
        <f t="shared" si="16"/>
        <v>0</v>
      </c>
      <c r="Q93" s="12">
        <v>7924</v>
      </c>
      <c r="R93" s="1">
        <f t="shared" si="17"/>
        <v>0</v>
      </c>
      <c r="S93" s="1">
        <f t="shared" si="18"/>
        <v>0</v>
      </c>
      <c r="T93" s="1">
        <f t="shared" si="19"/>
        <v>0</v>
      </c>
      <c r="U93" s="1">
        <f t="shared" si="20"/>
        <v>0</v>
      </c>
    </row>
    <row r="94" spans="1:21" ht="20" customHeight="1" x14ac:dyDescent="0.15">
      <c r="A94" s="8">
        <v>117</v>
      </c>
      <c r="B94" s="9" t="s">
        <v>37</v>
      </c>
      <c r="C94" s="41">
        <f t="shared" si="14"/>
        <v>44238</v>
      </c>
      <c r="D94" s="10" t="s">
        <v>22</v>
      </c>
      <c r="E94" s="36" t="str">
        <f t="shared" si="11"/>
        <v>instagram_tier2</v>
      </c>
      <c r="F94" s="10" t="s">
        <v>14</v>
      </c>
      <c r="G94" s="11">
        <v>983498</v>
      </c>
      <c r="H94" s="11">
        <v>3058200</v>
      </c>
      <c r="I94" s="13">
        <v>4138.7299999999996</v>
      </c>
      <c r="J94" s="40">
        <f t="shared" si="12"/>
        <v>5.0000000000000001E-3</v>
      </c>
      <c r="K94" s="11">
        <v>15291</v>
      </c>
      <c r="L94" s="6" t="b">
        <f t="shared" si="13"/>
        <v>0</v>
      </c>
      <c r="M94" s="11">
        <v>114</v>
      </c>
      <c r="N94" s="6" t="b">
        <f t="shared" si="15"/>
        <v>0</v>
      </c>
      <c r="O94" s="11">
        <v>1</v>
      </c>
      <c r="P94" s="6" t="b">
        <f t="shared" si="16"/>
        <v>0</v>
      </c>
      <c r="Q94" s="12">
        <v>2771</v>
      </c>
      <c r="R94" s="1">
        <f t="shared" si="17"/>
        <v>0</v>
      </c>
      <c r="S94" s="1">
        <f t="shared" si="18"/>
        <v>0</v>
      </c>
      <c r="T94" s="1">
        <f t="shared" si="19"/>
        <v>0</v>
      </c>
      <c r="U94" s="1">
        <f t="shared" si="20"/>
        <v>0</v>
      </c>
    </row>
    <row r="95" spans="1:21" ht="20" customHeight="1" x14ac:dyDescent="0.15">
      <c r="A95" s="8">
        <v>123</v>
      </c>
      <c r="B95" s="9" t="s">
        <v>38</v>
      </c>
      <c r="C95" s="41">
        <f t="shared" si="14"/>
        <v>44239</v>
      </c>
      <c r="D95" s="10" t="s">
        <v>15</v>
      </c>
      <c r="E95" s="36" t="str">
        <f t="shared" si="11"/>
        <v>facebook_tier2</v>
      </c>
      <c r="F95" s="10" t="s">
        <v>14</v>
      </c>
      <c r="G95" s="11">
        <v>348934</v>
      </c>
      <c r="H95" s="11">
        <v>2639200</v>
      </c>
      <c r="I95" s="12">
        <v>191722</v>
      </c>
      <c r="J95" s="40">
        <f t="shared" si="12"/>
        <v>5.0000000000000001E-3</v>
      </c>
      <c r="K95" s="11">
        <v>13196</v>
      </c>
      <c r="L95" s="6" t="b">
        <f t="shared" si="13"/>
        <v>0</v>
      </c>
      <c r="M95" s="11">
        <v>325</v>
      </c>
      <c r="N95" s="6" t="b">
        <f t="shared" si="15"/>
        <v>0</v>
      </c>
      <c r="O95" s="11">
        <v>32</v>
      </c>
      <c r="P95" s="6" t="b">
        <f t="shared" si="16"/>
        <v>0</v>
      </c>
      <c r="Q95" s="12">
        <v>176512</v>
      </c>
      <c r="R95" s="1">
        <f t="shared" si="17"/>
        <v>0</v>
      </c>
      <c r="S95" s="1">
        <f t="shared" si="18"/>
        <v>0</v>
      </c>
      <c r="T95" s="1">
        <f t="shared" si="19"/>
        <v>0</v>
      </c>
      <c r="U95" s="1">
        <f t="shared" si="20"/>
        <v>0</v>
      </c>
    </row>
    <row r="96" spans="1:21" ht="20" customHeight="1" x14ac:dyDescent="0.15">
      <c r="A96" s="8">
        <v>138</v>
      </c>
      <c r="B96" s="9" t="s">
        <v>39</v>
      </c>
      <c r="C96" s="41">
        <f t="shared" si="14"/>
        <v>44240</v>
      </c>
      <c r="D96" s="10" t="s">
        <v>21</v>
      </c>
      <c r="E96" s="36" t="str">
        <f t="shared" si="11"/>
        <v>instagram_tier1</v>
      </c>
      <c r="F96" s="10" t="s">
        <v>14</v>
      </c>
      <c r="G96" s="11">
        <v>9034945</v>
      </c>
      <c r="H96" s="11">
        <v>2698200</v>
      </c>
      <c r="I96" s="12">
        <v>88844.800000000003</v>
      </c>
      <c r="J96" s="40">
        <f t="shared" si="12"/>
        <v>5.0000000000000001E-3</v>
      </c>
      <c r="K96" s="11">
        <v>13491</v>
      </c>
      <c r="L96" s="6" t="b">
        <f t="shared" si="13"/>
        <v>0</v>
      </c>
      <c r="M96" s="11">
        <v>219</v>
      </c>
      <c r="N96" s="6" t="b">
        <f t="shared" si="15"/>
        <v>0</v>
      </c>
      <c r="O96" s="11">
        <v>26</v>
      </c>
      <c r="P96" s="6" t="b">
        <f t="shared" si="16"/>
        <v>0</v>
      </c>
      <c r="Q96" s="12">
        <v>176384</v>
      </c>
      <c r="R96" s="1">
        <f t="shared" si="17"/>
        <v>0</v>
      </c>
      <c r="S96" s="1">
        <f t="shared" si="18"/>
        <v>0</v>
      </c>
      <c r="T96" s="1">
        <f t="shared" si="19"/>
        <v>0</v>
      </c>
      <c r="U96" s="1">
        <f t="shared" si="20"/>
        <v>0</v>
      </c>
    </row>
    <row r="97" spans="1:21" ht="20" customHeight="1" x14ac:dyDescent="0.15">
      <c r="A97" s="8">
        <v>139</v>
      </c>
      <c r="B97" s="9" t="s">
        <v>39</v>
      </c>
      <c r="C97" s="41">
        <f t="shared" si="14"/>
        <v>44240</v>
      </c>
      <c r="D97" s="10" t="s">
        <v>22</v>
      </c>
      <c r="E97" s="36" t="str">
        <f t="shared" si="11"/>
        <v>instagram_tier2</v>
      </c>
      <c r="F97" s="10" t="s">
        <v>14</v>
      </c>
      <c r="G97" s="11">
        <v>983498</v>
      </c>
      <c r="H97" s="11">
        <v>5100600</v>
      </c>
      <c r="I97" s="12">
        <v>16656.8</v>
      </c>
      <c r="J97" s="40">
        <f t="shared" si="12"/>
        <v>5.0000000000000001E-3</v>
      </c>
      <c r="K97" s="11">
        <v>25503</v>
      </c>
      <c r="L97" s="6" t="b">
        <f t="shared" si="13"/>
        <v>0</v>
      </c>
      <c r="M97" s="11">
        <v>510</v>
      </c>
      <c r="N97" s="6" t="b">
        <f t="shared" si="15"/>
        <v>0</v>
      </c>
      <c r="O97" s="11">
        <v>6</v>
      </c>
      <c r="P97" s="6" t="b">
        <f t="shared" si="16"/>
        <v>0</v>
      </c>
      <c r="Q97" s="12">
        <v>10134</v>
      </c>
      <c r="R97" s="1">
        <f t="shared" si="17"/>
        <v>0</v>
      </c>
      <c r="S97" s="1">
        <f t="shared" si="18"/>
        <v>0</v>
      </c>
      <c r="T97" s="1">
        <f t="shared" si="19"/>
        <v>0</v>
      </c>
      <c r="U97" s="1">
        <f t="shared" si="20"/>
        <v>0</v>
      </c>
    </row>
    <row r="98" spans="1:21" ht="20" customHeight="1" x14ac:dyDescent="0.15">
      <c r="A98" s="8">
        <v>149</v>
      </c>
      <c r="B98" s="9" t="s">
        <v>40</v>
      </c>
      <c r="C98" s="41">
        <f t="shared" si="14"/>
        <v>44241</v>
      </c>
      <c r="D98" s="10" t="s">
        <v>21</v>
      </c>
      <c r="E98" s="36" t="str">
        <f t="shared" si="11"/>
        <v>instagram_tier1</v>
      </c>
      <c r="F98" s="10" t="s">
        <v>14</v>
      </c>
      <c r="G98" s="11">
        <v>9034945</v>
      </c>
      <c r="H98" s="11">
        <v>3239400</v>
      </c>
      <c r="I98" s="12">
        <v>312844</v>
      </c>
      <c r="J98" s="40">
        <f t="shared" si="12"/>
        <v>5.0000000000000001E-3</v>
      </c>
      <c r="K98" s="11">
        <v>16197</v>
      </c>
      <c r="L98" s="6" t="b">
        <f t="shared" si="13"/>
        <v>0</v>
      </c>
      <c r="M98" s="11">
        <v>604</v>
      </c>
      <c r="N98" s="6" t="b">
        <f t="shared" si="15"/>
        <v>0</v>
      </c>
      <c r="O98" s="11">
        <v>72</v>
      </c>
      <c r="P98" s="6" t="b">
        <f t="shared" si="16"/>
        <v>0</v>
      </c>
      <c r="Q98" s="12">
        <v>377352</v>
      </c>
      <c r="R98" s="1">
        <f t="shared" si="17"/>
        <v>0</v>
      </c>
      <c r="S98" s="1">
        <f t="shared" si="18"/>
        <v>0</v>
      </c>
      <c r="T98" s="1">
        <f t="shared" si="19"/>
        <v>0</v>
      </c>
      <c r="U98" s="1">
        <f t="shared" si="20"/>
        <v>0</v>
      </c>
    </row>
    <row r="99" spans="1:21" ht="20" customHeight="1" x14ac:dyDescent="0.15">
      <c r="A99" s="8">
        <v>155</v>
      </c>
      <c r="B99" s="9" t="s">
        <v>41</v>
      </c>
      <c r="C99" s="41">
        <f t="shared" si="14"/>
        <v>44242</v>
      </c>
      <c r="D99" s="10" t="s">
        <v>13</v>
      </c>
      <c r="E99" s="36" t="str">
        <f t="shared" si="11"/>
        <v>facebook_tier1</v>
      </c>
      <c r="F99" s="10" t="s">
        <v>14</v>
      </c>
      <c r="G99" s="11">
        <v>349043</v>
      </c>
      <c r="H99" s="11">
        <v>3361800</v>
      </c>
      <c r="I99" s="12">
        <v>168064</v>
      </c>
      <c r="J99" s="40">
        <f t="shared" si="12"/>
        <v>5.0000000000000001E-3</v>
      </c>
      <c r="K99" s="11">
        <v>16809</v>
      </c>
      <c r="L99" s="6" t="b">
        <f t="shared" si="13"/>
        <v>0</v>
      </c>
      <c r="M99" s="11">
        <v>247</v>
      </c>
      <c r="N99" s="6" t="b">
        <f t="shared" si="15"/>
        <v>0</v>
      </c>
      <c r="O99" s="11">
        <v>30</v>
      </c>
      <c r="P99" s="6" t="b">
        <f t="shared" si="16"/>
        <v>0</v>
      </c>
      <c r="Q99" s="12">
        <v>149430</v>
      </c>
      <c r="R99" s="1">
        <f t="shared" si="17"/>
        <v>0</v>
      </c>
      <c r="S99" s="1">
        <f t="shared" si="18"/>
        <v>0</v>
      </c>
      <c r="T99" s="1">
        <f t="shared" si="19"/>
        <v>0</v>
      </c>
      <c r="U99" s="1">
        <f t="shared" si="20"/>
        <v>0</v>
      </c>
    </row>
    <row r="100" spans="1:21" ht="20" customHeight="1" x14ac:dyDescent="0.15">
      <c r="A100" s="8">
        <v>158</v>
      </c>
      <c r="B100" s="9" t="s">
        <v>41</v>
      </c>
      <c r="C100" s="41">
        <f t="shared" si="14"/>
        <v>44242</v>
      </c>
      <c r="D100" s="10" t="s">
        <v>18</v>
      </c>
      <c r="E100" s="36" t="str">
        <f t="shared" si="11"/>
        <v>google_wide</v>
      </c>
      <c r="F100" s="10" t="s">
        <v>17</v>
      </c>
      <c r="G100" s="11">
        <v>127823</v>
      </c>
      <c r="H100" s="11">
        <v>3359600</v>
      </c>
      <c r="I100" s="12">
        <v>124854</v>
      </c>
      <c r="J100" s="40">
        <f t="shared" si="12"/>
        <v>5.0000000000000001E-3</v>
      </c>
      <c r="K100" s="11">
        <v>16798</v>
      </c>
      <c r="L100" s="6" t="b">
        <f t="shared" si="13"/>
        <v>0</v>
      </c>
      <c r="M100" s="11">
        <v>336</v>
      </c>
      <c r="N100" s="6" t="b">
        <f t="shared" si="15"/>
        <v>0</v>
      </c>
      <c r="O100" s="11">
        <v>31</v>
      </c>
      <c r="P100" s="6" t="b">
        <f t="shared" ref="P100:P131" si="21">(O99)&gt;(M99)</f>
        <v>0</v>
      </c>
      <c r="Q100" s="12">
        <v>92411</v>
      </c>
      <c r="R100" s="1">
        <f t="shared" si="17"/>
        <v>0</v>
      </c>
      <c r="S100" s="1">
        <f t="shared" si="18"/>
        <v>0</v>
      </c>
      <c r="T100" s="1">
        <f t="shared" si="19"/>
        <v>0</v>
      </c>
      <c r="U100" s="1">
        <f t="shared" si="20"/>
        <v>0</v>
      </c>
    </row>
    <row r="101" spans="1:21" ht="20" customHeight="1" x14ac:dyDescent="0.15">
      <c r="A101" s="8">
        <v>160</v>
      </c>
      <c r="B101" s="9" t="s">
        <v>41</v>
      </c>
      <c r="C101" s="41">
        <f t="shared" si="14"/>
        <v>44242</v>
      </c>
      <c r="D101" s="10" t="s">
        <v>21</v>
      </c>
      <c r="E101" s="36" t="str">
        <f t="shared" si="11"/>
        <v>instagram_tier1</v>
      </c>
      <c r="F101" s="10" t="s">
        <v>14</v>
      </c>
      <c r="G101" s="11">
        <v>9034945</v>
      </c>
      <c r="H101" s="11">
        <v>3780200</v>
      </c>
      <c r="I101" s="12">
        <v>136269</v>
      </c>
      <c r="J101" s="40">
        <f t="shared" si="12"/>
        <v>5.0000000000000001E-3</v>
      </c>
      <c r="K101" s="11">
        <v>18901</v>
      </c>
      <c r="L101" s="6" t="b">
        <f t="shared" si="13"/>
        <v>0</v>
      </c>
      <c r="M101" s="11">
        <v>378</v>
      </c>
      <c r="N101" s="6" t="b">
        <f t="shared" si="15"/>
        <v>0</v>
      </c>
      <c r="O101" s="11">
        <v>45</v>
      </c>
      <c r="P101" s="6" t="b">
        <f t="shared" si="21"/>
        <v>0</v>
      </c>
      <c r="Q101" s="12">
        <v>269145</v>
      </c>
      <c r="R101" s="1">
        <f t="shared" si="17"/>
        <v>0</v>
      </c>
      <c r="S101" s="1">
        <f t="shared" si="18"/>
        <v>0</v>
      </c>
      <c r="T101" s="1">
        <f t="shared" si="19"/>
        <v>0</v>
      </c>
      <c r="U101" s="1">
        <f t="shared" si="20"/>
        <v>0</v>
      </c>
    </row>
    <row r="102" spans="1:21" ht="20" customHeight="1" x14ac:dyDescent="0.15">
      <c r="A102" s="8">
        <v>161</v>
      </c>
      <c r="B102" s="9" t="s">
        <v>41</v>
      </c>
      <c r="C102" s="41">
        <f t="shared" si="14"/>
        <v>44242</v>
      </c>
      <c r="D102" s="10" t="s">
        <v>22</v>
      </c>
      <c r="E102" s="36" t="str">
        <f t="shared" si="11"/>
        <v>instagram_tier2</v>
      </c>
      <c r="F102" s="10" t="s">
        <v>14</v>
      </c>
      <c r="G102" s="11">
        <v>983498</v>
      </c>
      <c r="H102" s="11">
        <v>7138400</v>
      </c>
      <c r="I102" s="12">
        <v>37098.6</v>
      </c>
      <c r="J102" s="40">
        <f t="shared" si="12"/>
        <v>5.0000000000000001E-3</v>
      </c>
      <c r="K102" s="11">
        <v>35692</v>
      </c>
      <c r="L102" s="6" t="b">
        <f t="shared" si="13"/>
        <v>0</v>
      </c>
      <c r="M102" s="11">
        <v>916</v>
      </c>
      <c r="N102" s="6" t="b">
        <f t="shared" si="15"/>
        <v>0</v>
      </c>
      <c r="O102" s="11">
        <v>11</v>
      </c>
      <c r="P102" s="6" t="b">
        <f t="shared" si="21"/>
        <v>0</v>
      </c>
      <c r="Q102" s="12">
        <v>21791</v>
      </c>
      <c r="R102" s="1">
        <f t="shared" si="17"/>
        <v>0</v>
      </c>
      <c r="S102" s="1">
        <f t="shared" si="18"/>
        <v>0</v>
      </c>
      <c r="T102" s="1">
        <f t="shared" si="19"/>
        <v>0</v>
      </c>
      <c r="U102" s="1">
        <f t="shared" si="20"/>
        <v>0</v>
      </c>
    </row>
    <row r="103" spans="1:21" ht="20" customHeight="1" x14ac:dyDescent="0.15">
      <c r="A103" s="8">
        <v>166</v>
      </c>
      <c r="B103" s="9" t="s">
        <v>42</v>
      </c>
      <c r="C103" s="41">
        <f t="shared" si="14"/>
        <v>44243</v>
      </c>
      <c r="D103" s="10" t="s">
        <v>13</v>
      </c>
      <c r="E103" s="36" t="str">
        <f t="shared" si="11"/>
        <v>facebook_tier1</v>
      </c>
      <c r="F103" s="10" t="s">
        <v>14</v>
      </c>
      <c r="G103" s="11">
        <v>349043</v>
      </c>
      <c r="H103" s="11">
        <v>3839000</v>
      </c>
      <c r="I103" s="12">
        <v>393027</v>
      </c>
      <c r="J103" s="40">
        <f t="shared" si="12"/>
        <v>5.0000000000000001E-3</v>
      </c>
      <c r="K103" s="11">
        <v>19195</v>
      </c>
      <c r="L103" s="6" t="b">
        <f t="shared" si="13"/>
        <v>0</v>
      </c>
      <c r="M103" s="11">
        <v>384</v>
      </c>
      <c r="N103" s="6" t="b">
        <f t="shared" si="15"/>
        <v>0</v>
      </c>
      <c r="O103" s="11">
        <v>64</v>
      </c>
      <c r="P103" s="6" t="b">
        <f t="shared" si="21"/>
        <v>0</v>
      </c>
      <c r="Q103" s="12">
        <v>336448</v>
      </c>
      <c r="R103" s="1">
        <f t="shared" si="17"/>
        <v>0</v>
      </c>
      <c r="S103" s="1">
        <f t="shared" si="18"/>
        <v>0</v>
      </c>
      <c r="T103" s="1">
        <f t="shared" si="19"/>
        <v>0</v>
      </c>
      <c r="U103" s="1">
        <f t="shared" si="20"/>
        <v>0</v>
      </c>
    </row>
    <row r="104" spans="1:21" ht="20" customHeight="1" x14ac:dyDescent="0.15">
      <c r="A104" s="8">
        <v>167</v>
      </c>
      <c r="B104" s="9" t="s">
        <v>42</v>
      </c>
      <c r="C104" s="41">
        <f t="shared" si="14"/>
        <v>44243</v>
      </c>
      <c r="D104" s="10" t="s">
        <v>15</v>
      </c>
      <c r="E104" s="36" t="str">
        <f t="shared" si="11"/>
        <v>facebook_tier2</v>
      </c>
      <c r="F104" s="10" t="s">
        <v>14</v>
      </c>
      <c r="G104" s="11">
        <v>348934</v>
      </c>
      <c r="H104" s="11">
        <v>5280000</v>
      </c>
      <c r="I104" s="12">
        <v>595176</v>
      </c>
      <c r="J104" s="40">
        <f t="shared" si="12"/>
        <v>5.0000000000000001E-3</v>
      </c>
      <c r="K104" s="11">
        <v>26400</v>
      </c>
      <c r="L104" s="6" t="b">
        <f t="shared" si="13"/>
        <v>0</v>
      </c>
      <c r="M104" s="11">
        <v>923</v>
      </c>
      <c r="N104" s="6" t="b">
        <f t="shared" si="15"/>
        <v>0</v>
      </c>
      <c r="O104" s="11">
        <v>80</v>
      </c>
      <c r="P104" s="6" t="b">
        <f t="shared" si="21"/>
        <v>0</v>
      </c>
      <c r="Q104" s="12">
        <v>392160</v>
      </c>
      <c r="R104" s="1">
        <f t="shared" si="17"/>
        <v>0</v>
      </c>
      <c r="S104" s="1">
        <f t="shared" si="18"/>
        <v>0</v>
      </c>
      <c r="T104" s="1">
        <f t="shared" si="19"/>
        <v>0</v>
      </c>
      <c r="U104" s="1">
        <f t="shared" si="20"/>
        <v>0</v>
      </c>
    </row>
    <row r="105" spans="1:21" ht="20" customHeight="1" x14ac:dyDescent="0.15">
      <c r="A105" s="8">
        <v>169</v>
      </c>
      <c r="B105" s="9" t="s">
        <v>42</v>
      </c>
      <c r="C105" s="41">
        <f t="shared" si="14"/>
        <v>44243</v>
      </c>
      <c r="D105" s="10" t="s">
        <v>18</v>
      </c>
      <c r="E105" s="36" t="str">
        <f t="shared" si="11"/>
        <v>google_wide</v>
      </c>
      <c r="F105" s="10" t="s">
        <v>17</v>
      </c>
      <c r="G105" s="11">
        <v>127823</v>
      </c>
      <c r="H105" s="11">
        <v>3841400</v>
      </c>
      <c r="I105" s="12">
        <v>271906</v>
      </c>
      <c r="J105" s="40">
        <f t="shared" si="12"/>
        <v>5.0000000000000001E-3</v>
      </c>
      <c r="K105" s="11">
        <v>19207</v>
      </c>
      <c r="L105" s="6" t="b">
        <f t="shared" si="13"/>
        <v>0</v>
      </c>
      <c r="M105" s="11">
        <v>666</v>
      </c>
      <c r="N105" s="6" t="b">
        <f t="shared" si="15"/>
        <v>0</v>
      </c>
      <c r="O105" s="11">
        <v>67</v>
      </c>
      <c r="P105" s="6" t="b">
        <f t="shared" si="21"/>
        <v>0</v>
      </c>
      <c r="Q105" s="12">
        <v>199727</v>
      </c>
      <c r="R105" s="1">
        <f t="shared" si="17"/>
        <v>0</v>
      </c>
      <c r="S105" s="1">
        <f t="shared" si="18"/>
        <v>0</v>
      </c>
      <c r="T105" s="1">
        <f t="shared" si="19"/>
        <v>0</v>
      </c>
      <c r="U105" s="1">
        <f t="shared" si="20"/>
        <v>0</v>
      </c>
    </row>
    <row r="106" spans="1:21" ht="20" customHeight="1" x14ac:dyDescent="0.15">
      <c r="A106" s="8">
        <v>171</v>
      </c>
      <c r="B106" s="9" t="s">
        <v>42</v>
      </c>
      <c r="C106" s="41">
        <f t="shared" si="14"/>
        <v>44243</v>
      </c>
      <c r="D106" s="10" t="s">
        <v>21</v>
      </c>
      <c r="E106" s="36" t="str">
        <f t="shared" si="11"/>
        <v>instagram_tier1</v>
      </c>
      <c r="F106" s="10" t="s">
        <v>14</v>
      </c>
      <c r="G106" s="11">
        <v>9034945</v>
      </c>
      <c r="H106" s="11">
        <v>4319200</v>
      </c>
      <c r="I106" s="12">
        <v>143680</v>
      </c>
      <c r="J106" s="40">
        <f t="shared" si="12"/>
        <v>5.0000000000000001E-3</v>
      </c>
      <c r="K106" s="11">
        <v>21596</v>
      </c>
      <c r="L106" s="6" t="b">
        <f t="shared" si="13"/>
        <v>0</v>
      </c>
      <c r="M106" s="11">
        <v>432</v>
      </c>
      <c r="N106" s="6" t="b">
        <f t="shared" si="15"/>
        <v>0</v>
      </c>
      <c r="O106" s="11">
        <v>34</v>
      </c>
      <c r="P106" s="6" t="b">
        <f t="shared" si="21"/>
        <v>0</v>
      </c>
      <c r="Q106" s="12">
        <v>171972</v>
      </c>
      <c r="R106" s="1">
        <f t="shared" si="17"/>
        <v>0</v>
      </c>
      <c r="S106" s="1">
        <f t="shared" si="18"/>
        <v>0</v>
      </c>
      <c r="T106" s="1">
        <f t="shared" si="19"/>
        <v>0</v>
      </c>
      <c r="U106" s="1">
        <f t="shared" si="20"/>
        <v>0</v>
      </c>
    </row>
    <row r="107" spans="1:21" ht="20" customHeight="1" x14ac:dyDescent="0.15">
      <c r="A107" s="8">
        <v>177</v>
      </c>
      <c r="B107" s="9" t="s">
        <v>43</v>
      </c>
      <c r="C107" s="41">
        <f t="shared" si="14"/>
        <v>44244</v>
      </c>
      <c r="D107" s="10" t="s">
        <v>13</v>
      </c>
      <c r="E107" s="36" t="str">
        <f t="shared" si="11"/>
        <v>facebook_tier1</v>
      </c>
      <c r="F107" s="10" t="s">
        <v>14</v>
      </c>
      <c r="G107" s="11">
        <v>349043</v>
      </c>
      <c r="H107" s="11">
        <v>4320600</v>
      </c>
      <c r="I107" s="12">
        <v>489831</v>
      </c>
      <c r="J107" s="40">
        <f t="shared" si="12"/>
        <v>5.0000000000000001E-3</v>
      </c>
      <c r="K107" s="11">
        <v>21603</v>
      </c>
      <c r="L107" s="6" t="b">
        <f t="shared" si="13"/>
        <v>0</v>
      </c>
      <c r="M107" s="11">
        <v>652</v>
      </c>
      <c r="N107" s="6" t="b">
        <f t="shared" si="15"/>
        <v>0</v>
      </c>
      <c r="O107" s="11">
        <v>86</v>
      </c>
      <c r="P107" s="6" t="b">
        <f t="shared" si="21"/>
        <v>0</v>
      </c>
      <c r="Q107" s="12">
        <v>428366</v>
      </c>
      <c r="R107" s="1">
        <f t="shared" si="17"/>
        <v>0</v>
      </c>
      <c r="S107" s="1">
        <f t="shared" si="18"/>
        <v>0</v>
      </c>
      <c r="T107" s="1">
        <f t="shared" si="19"/>
        <v>0</v>
      </c>
      <c r="U107" s="1">
        <f t="shared" si="20"/>
        <v>0</v>
      </c>
    </row>
    <row r="108" spans="1:21" ht="20" customHeight="1" x14ac:dyDescent="0.15">
      <c r="A108" s="8">
        <v>180</v>
      </c>
      <c r="B108" s="9" t="s">
        <v>43</v>
      </c>
      <c r="C108" s="41">
        <f t="shared" si="14"/>
        <v>44244</v>
      </c>
      <c r="D108" s="10" t="s">
        <v>18</v>
      </c>
      <c r="E108" s="36" t="str">
        <f t="shared" si="11"/>
        <v>google_wide</v>
      </c>
      <c r="F108" s="10" t="s">
        <v>17</v>
      </c>
      <c r="G108" s="11">
        <v>127823</v>
      </c>
      <c r="H108" s="11">
        <v>4319200</v>
      </c>
      <c r="I108" s="12">
        <v>180223</v>
      </c>
      <c r="J108" s="40">
        <f t="shared" si="12"/>
        <v>5.0000000000000001E-3</v>
      </c>
      <c r="K108" s="11">
        <v>21596</v>
      </c>
      <c r="L108" s="6" t="b">
        <f t="shared" si="13"/>
        <v>0</v>
      </c>
      <c r="M108" s="11">
        <v>442</v>
      </c>
      <c r="N108" s="6" t="b">
        <f t="shared" si="15"/>
        <v>0</v>
      </c>
      <c r="O108" s="11">
        <v>44</v>
      </c>
      <c r="P108" s="6" t="b">
        <f t="shared" si="21"/>
        <v>0</v>
      </c>
      <c r="Q108" s="12">
        <v>136708</v>
      </c>
      <c r="R108" s="1">
        <f t="shared" si="17"/>
        <v>0</v>
      </c>
      <c r="S108" s="1">
        <f t="shared" si="18"/>
        <v>0</v>
      </c>
      <c r="T108" s="1">
        <f t="shared" si="19"/>
        <v>0</v>
      </c>
      <c r="U108" s="1">
        <f t="shared" si="20"/>
        <v>0</v>
      </c>
    </row>
    <row r="109" spans="1:21" ht="20" customHeight="1" x14ac:dyDescent="0.15">
      <c r="A109" s="8">
        <v>188</v>
      </c>
      <c r="B109" s="9" t="s">
        <v>44</v>
      </c>
      <c r="C109" s="41">
        <f t="shared" si="14"/>
        <v>44245</v>
      </c>
      <c r="D109" s="10" t="s">
        <v>13</v>
      </c>
      <c r="E109" s="36" t="str">
        <f t="shared" si="11"/>
        <v>facebook_tier1</v>
      </c>
      <c r="F109" s="10" t="s">
        <v>14</v>
      </c>
      <c r="G109" s="11">
        <v>349043</v>
      </c>
      <c r="H109" s="11">
        <v>4798200</v>
      </c>
      <c r="I109" s="12">
        <v>30892.2</v>
      </c>
      <c r="J109" s="40">
        <f t="shared" si="12"/>
        <v>5.0000000000000001E-3</v>
      </c>
      <c r="K109" s="11">
        <v>23991</v>
      </c>
      <c r="L109" s="6" t="b">
        <f t="shared" si="13"/>
        <v>0</v>
      </c>
      <c r="M109" s="11">
        <v>61</v>
      </c>
      <c r="N109" s="6" t="b">
        <f t="shared" si="15"/>
        <v>0</v>
      </c>
      <c r="O109" s="11">
        <v>6</v>
      </c>
      <c r="P109" s="6" t="b">
        <f t="shared" si="21"/>
        <v>0</v>
      </c>
      <c r="Q109" s="12">
        <v>25686</v>
      </c>
      <c r="R109" s="1">
        <f t="shared" si="17"/>
        <v>0</v>
      </c>
      <c r="S109" s="1">
        <f t="shared" si="18"/>
        <v>0</v>
      </c>
      <c r="T109" s="1">
        <f t="shared" si="19"/>
        <v>0</v>
      </c>
      <c r="U109" s="1">
        <f t="shared" si="20"/>
        <v>0</v>
      </c>
    </row>
    <row r="110" spans="1:21" ht="20" customHeight="1" x14ac:dyDescent="0.15">
      <c r="A110" s="8">
        <v>200</v>
      </c>
      <c r="B110" s="9" t="s">
        <v>45</v>
      </c>
      <c r="C110" s="41">
        <f t="shared" si="14"/>
        <v>44246</v>
      </c>
      <c r="D110" s="10" t="s">
        <v>15</v>
      </c>
      <c r="E110" s="36" t="str">
        <f t="shared" si="11"/>
        <v>facebook_tier2</v>
      </c>
      <c r="F110" s="10" t="s">
        <v>14</v>
      </c>
      <c r="G110" s="11">
        <v>348934</v>
      </c>
      <c r="H110" s="11">
        <v>7260800</v>
      </c>
      <c r="I110" s="12">
        <v>415376</v>
      </c>
      <c r="J110" s="40">
        <f t="shared" si="12"/>
        <v>5.0000000000000001E-3</v>
      </c>
      <c r="K110" s="11">
        <v>36304</v>
      </c>
      <c r="L110" s="6" t="b">
        <f t="shared" si="13"/>
        <v>0</v>
      </c>
      <c r="M110" s="11">
        <v>726</v>
      </c>
      <c r="N110" s="6" t="b">
        <f t="shared" si="15"/>
        <v>0</v>
      </c>
      <c r="O110" s="11">
        <v>58</v>
      </c>
      <c r="P110" s="6" t="b">
        <f t="shared" si="21"/>
        <v>0</v>
      </c>
      <c r="Q110" s="12">
        <v>288898</v>
      </c>
      <c r="R110" s="1">
        <f t="shared" si="17"/>
        <v>0</v>
      </c>
      <c r="S110" s="1">
        <f t="shared" si="18"/>
        <v>0</v>
      </c>
      <c r="T110" s="1">
        <f t="shared" si="19"/>
        <v>0</v>
      </c>
      <c r="U110" s="1">
        <f t="shared" si="20"/>
        <v>0</v>
      </c>
    </row>
    <row r="111" spans="1:21" ht="20" customHeight="1" x14ac:dyDescent="0.15">
      <c r="A111" s="8">
        <v>205</v>
      </c>
      <c r="B111" s="9" t="s">
        <v>45</v>
      </c>
      <c r="C111" s="41">
        <f t="shared" si="14"/>
        <v>44246</v>
      </c>
      <c r="D111" s="10" t="s">
        <v>22</v>
      </c>
      <c r="E111" s="36" t="str">
        <f t="shared" si="11"/>
        <v>instagram_tier2</v>
      </c>
      <c r="F111" s="10" t="s">
        <v>14</v>
      </c>
      <c r="G111" s="11">
        <v>983498</v>
      </c>
      <c r="H111" s="11">
        <v>11222000</v>
      </c>
      <c r="I111" s="13">
        <v>9908.98</v>
      </c>
      <c r="J111" s="40">
        <f t="shared" si="12"/>
        <v>5.0000000000000001E-3</v>
      </c>
      <c r="K111" s="11">
        <v>56110</v>
      </c>
      <c r="L111" s="6" t="b">
        <f t="shared" si="13"/>
        <v>0</v>
      </c>
      <c r="M111" s="11">
        <v>185</v>
      </c>
      <c r="N111" s="6" t="b">
        <f t="shared" si="15"/>
        <v>0</v>
      </c>
      <c r="O111" s="11">
        <v>3</v>
      </c>
      <c r="P111" s="6" t="b">
        <f t="shared" si="21"/>
        <v>0</v>
      </c>
      <c r="Q111" s="12">
        <v>3621</v>
      </c>
      <c r="R111" s="1">
        <f t="shared" si="17"/>
        <v>0</v>
      </c>
      <c r="S111" s="1">
        <f t="shared" si="18"/>
        <v>0</v>
      </c>
      <c r="T111" s="1">
        <f t="shared" si="19"/>
        <v>0</v>
      </c>
      <c r="U111" s="1">
        <f t="shared" si="20"/>
        <v>0</v>
      </c>
    </row>
    <row r="112" spans="1:21" ht="20" customHeight="1" x14ac:dyDescent="0.15">
      <c r="A112" s="8">
        <v>211</v>
      </c>
      <c r="B112" s="9" t="s">
        <v>46</v>
      </c>
      <c r="C112" s="41">
        <f t="shared" si="14"/>
        <v>44247</v>
      </c>
      <c r="D112" s="10" t="s">
        <v>15</v>
      </c>
      <c r="E112" s="36" t="str">
        <f t="shared" si="11"/>
        <v>facebook_tier2</v>
      </c>
      <c r="F112" s="10" t="s">
        <v>14</v>
      </c>
      <c r="G112" s="11">
        <v>348934</v>
      </c>
      <c r="H112" s="11">
        <v>7918600</v>
      </c>
      <c r="I112" s="12">
        <v>455831</v>
      </c>
      <c r="J112" s="40">
        <f t="shared" si="12"/>
        <v>5.0000000000000001E-3</v>
      </c>
      <c r="K112" s="11">
        <v>39593</v>
      </c>
      <c r="L112" s="6" t="b">
        <f t="shared" si="13"/>
        <v>0</v>
      </c>
      <c r="M112" s="11">
        <v>853</v>
      </c>
      <c r="N112" s="6" t="b">
        <f t="shared" si="15"/>
        <v>0</v>
      </c>
      <c r="O112" s="11">
        <v>68</v>
      </c>
      <c r="P112" s="6" t="b">
        <f t="shared" si="21"/>
        <v>0</v>
      </c>
      <c r="Q112" s="12">
        <v>387124</v>
      </c>
      <c r="R112" s="1">
        <f t="shared" si="17"/>
        <v>0</v>
      </c>
      <c r="S112" s="1">
        <f t="shared" si="18"/>
        <v>0</v>
      </c>
      <c r="T112" s="1">
        <f t="shared" si="19"/>
        <v>0</v>
      </c>
      <c r="U112" s="1">
        <f t="shared" si="20"/>
        <v>0</v>
      </c>
    </row>
    <row r="113" spans="1:21" ht="20" customHeight="1" x14ac:dyDescent="0.15">
      <c r="A113" s="8">
        <v>213</v>
      </c>
      <c r="B113" s="9" t="s">
        <v>46</v>
      </c>
      <c r="C113" s="41">
        <f t="shared" si="14"/>
        <v>44247</v>
      </c>
      <c r="D113" s="10" t="s">
        <v>18</v>
      </c>
      <c r="E113" s="36" t="str">
        <f t="shared" si="11"/>
        <v>google_wide</v>
      </c>
      <c r="F113" s="10" t="s">
        <v>17</v>
      </c>
      <c r="G113" s="11">
        <v>127823</v>
      </c>
      <c r="H113" s="11">
        <v>5762000</v>
      </c>
      <c r="I113" s="12">
        <v>435770</v>
      </c>
      <c r="J113" s="40">
        <f t="shared" si="12"/>
        <v>5.0000000000000001E-3</v>
      </c>
      <c r="K113" s="11">
        <v>28810</v>
      </c>
      <c r="L113" s="6" t="b">
        <f t="shared" si="13"/>
        <v>0</v>
      </c>
      <c r="M113" s="11">
        <v>732</v>
      </c>
      <c r="N113" s="6" t="b">
        <f t="shared" si="15"/>
        <v>0</v>
      </c>
      <c r="O113" s="11">
        <v>96</v>
      </c>
      <c r="P113" s="6" t="b">
        <f t="shared" si="21"/>
        <v>0</v>
      </c>
      <c r="Q113" s="12">
        <v>253440</v>
      </c>
      <c r="R113" s="1">
        <f t="shared" si="17"/>
        <v>0</v>
      </c>
      <c r="S113" s="1">
        <f t="shared" si="18"/>
        <v>0</v>
      </c>
      <c r="T113" s="1">
        <f t="shared" si="19"/>
        <v>0</v>
      </c>
      <c r="U113" s="1">
        <f t="shared" si="20"/>
        <v>0</v>
      </c>
    </row>
    <row r="114" spans="1:21" ht="20" customHeight="1" x14ac:dyDescent="0.15">
      <c r="A114" s="8">
        <v>216</v>
      </c>
      <c r="B114" s="9" t="s">
        <v>46</v>
      </c>
      <c r="C114" s="41">
        <f t="shared" si="14"/>
        <v>44247</v>
      </c>
      <c r="D114" s="10" t="s">
        <v>22</v>
      </c>
      <c r="E114" s="36" t="str">
        <f t="shared" si="11"/>
        <v>instagram_tier2</v>
      </c>
      <c r="F114" s="10" t="s">
        <v>14</v>
      </c>
      <c r="G114" s="11">
        <v>983498</v>
      </c>
      <c r="H114" s="11">
        <v>12239000</v>
      </c>
      <c r="I114" s="12">
        <v>150065</v>
      </c>
      <c r="J114" s="40">
        <f t="shared" si="12"/>
        <v>5.0000000000000001E-3</v>
      </c>
      <c r="K114" s="11">
        <v>61195</v>
      </c>
      <c r="L114" s="6" t="b">
        <f t="shared" si="13"/>
        <v>0</v>
      </c>
      <c r="M114" s="11">
        <v>1224</v>
      </c>
      <c r="N114" s="6" t="b">
        <f t="shared" si="15"/>
        <v>0</v>
      </c>
      <c r="O114" s="11">
        <v>48</v>
      </c>
      <c r="P114" s="6" t="b">
        <f t="shared" si="21"/>
        <v>0</v>
      </c>
      <c r="Q114" s="12">
        <v>73392</v>
      </c>
      <c r="R114" s="1">
        <f t="shared" si="17"/>
        <v>0</v>
      </c>
      <c r="S114" s="1">
        <f t="shared" si="18"/>
        <v>0</v>
      </c>
      <c r="T114" s="1">
        <f t="shared" si="19"/>
        <v>0</v>
      </c>
      <c r="U114" s="1">
        <f t="shared" si="20"/>
        <v>0</v>
      </c>
    </row>
    <row r="115" spans="1:21" ht="20" customHeight="1" x14ac:dyDescent="0.15">
      <c r="A115" s="8">
        <v>221</v>
      </c>
      <c r="B115" s="9" t="s">
        <v>47</v>
      </c>
      <c r="C115" s="41">
        <f t="shared" si="14"/>
        <v>44248</v>
      </c>
      <c r="D115" s="10" t="s">
        <v>13</v>
      </c>
      <c r="E115" s="36" t="str">
        <f t="shared" si="11"/>
        <v>facebook_tier1</v>
      </c>
      <c r="F115" s="10" t="s">
        <v>14</v>
      </c>
      <c r="G115" s="11">
        <v>349043</v>
      </c>
      <c r="H115" s="11">
        <v>478600</v>
      </c>
      <c r="I115" s="12">
        <v>38596.699999999997</v>
      </c>
      <c r="J115" s="40">
        <f t="shared" si="12"/>
        <v>5.0000000000000001E-3</v>
      </c>
      <c r="K115" s="11">
        <v>2393</v>
      </c>
      <c r="L115" s="6" t="b">
        <f t="shared" si="13"/>
        <v>0</v>
      </c>
      <c r="M115" s="11">
        <v>66</v>
      </c>
      <c r="N115" s="6" t="b">
        <f t="shared" si="15"/>
        <v>0</v>
      </c>
      <c r="O115" s="11">
        <v>7</v>
      </c>
      <c r="P115" s="6" t="b">
        <f t="shared" si="21"/>
        <v>0</v>
      </c>
      <c r="Q115" s="12">
        <v>31094</v>
      </c>
      <c r="R115" s="1">
        <f t="shared" si="17"/>
        <v>0</v>
      </c>
      <c r="S115" s="1">
        <f t="shared" si="18"/>
        <v>0</v>
      </c>
      <c r="T115" s="1">
        <f t="shared" si="19"/>
        <v>0</v>
      </c>
      <c r="U115" s="1">
        <f t="shared" si="20"/>
        <v>0</v>
      </c>
    </row>
    <row r="116" spans="1:21" ht="20" customHeight="1" x14ac:dyDescent="0.15">
      <c r="A116" s="8">
        <v>224</v>
      </c>
      <c r="B116" s="9" t="s">
        <v>47</v>
      </c>
      <c r="C116" s="41">
        <f t="shared" si="14"/>
        <v>44248</v>
      </c>
      <c r="D116" s="10" t="s">
        <v>18</v>
      </c>
      <c r="E116" s="36" t="str">
        <f t="shared" si="11"/>
        <v>google_wide</v>
      </c>
      <c r="F116" s="10" t="s">
        <v>17</v>
      </c>
      <c r="G116" s="11">
        <v>127823</v>
      </c>
      <c r="H116" s="11">
        <v>478400</v>
      </c>
      <c r="I116" s="12">
        <v>17476.2</v>
      </c>
      <c r="J116" s="40">
        <f t="shared" si="12"/>
        <v>5.0000000000000001E-3</v>
      </c>
      <c r="K116" s="11">
        <v>2392</v>
      </c>
      <c r="L116" s="6" t="b">
        <f t="shared" si="13"/>
        <v>0</v>
      </c>
      <c r="M116" s="11">
        <v>48</v>
      </c>
      <c r="N116" s="6" t="b">
        <f t="shared" si="15"/>
        <v>0</v>
      </c>
      <c r="O116" s="11">
        <v>5</v>
      </c>
      <c r="P116" s="6" t="b">
        <f t="shared" si="21"/>
        <v>0</v>
      </c>
      <c r="Q116" s="12">
        <v>12910</v>
      </c>
      <c r="R116" s="1">
        <f t="shared" si="17"/>
        <v>0</v>
      </c>
      <c r="S116" s="1">
        <f t="shared" si="18"/>
        <v>0</v>
      </c>
      <c r="T116" s="1">
        <f t="shared" si="19"/>
        <v>0</v>
      </c>
      <c r="U116" s="1">
        <f t="shared" si="20"/>
        <v>0</v>
      </c>
    </row>
    <row r="117" spans="1:21" ht="20" customHeight="1" x14ac:dyDescent="0.15">
      <c r="A117" s="8">
        <v>235</v>
      </c>
      <c r="B117" s="9" t="s">
        <v>48</v>
      </c>
      <c r="C117" s="41">
        <f t="shared" si="14"/>
        <v>44249</v>
      </c>
      <c r="D117" s="10" t="s">
        <v>18</v>
      </c>
      <c r="E117" s="36" t="str">
        <f t="shared" si="11"/>
        <v>google_wide</v>
      </c>
      <c r="F117" s="10" t="s">
        <v>17</v>
      </c>
      <c r="G117" s="11">
        <v>127823</v>
      </c>
      <c r="H117" s="11">
        <v>959600</v>
      </c>
      <c r="I117" s="12">
        <v>12348.3</v>
      </c>
      <c r="J117" s="40">
        <f t="shared" si="12"/>
        <v>5.0000000000000001E-3</v>
      </c>
      <c r="K117" s="11">
        <v>4798</v>
      </c>
      <c r="L117" s="6" t="b">
        <f t="shared" si="13"/>
        <v>0</v>
      </c>
      <c r="M117" s="11">
        <v>39</v>
      </c>
      <c r="N117" s="6" t="b">
        <f t="shared" si="15"/>
        <v>0</v>
      </c>
      <c r="O117" s="11">
        <v>4</v>
      </c>
      <c r="P117" s="6" t="b">
        <f t="shared" si="21"/>
        <v>0</v>
      </c>
      <c r="Q117" s="12">
        <v>11924</v>
      </c>
      <c r="R117" s="1">
        <f t="shared" si="17"/>
        <v>0</v>
      </c>
      <c r="S117" s="1">
        <f t="shared" si="18"/>
        <v>0</v>
      </c>
      <c r="T117" s="1">
        <f t="shared" si="19"/>
        <v>0</v>
      </c>
      <c r="U117" s="1">
        <f t="shared" si="20"/>
        <v>0</v>
      </c>
    </row>
    <row r="118" spans="1:21" ht="20" customHeight="1" x14ac:dyDescent="0.15">
      <c r="A118" s="8">
        <v>246</v>
      </c>
      <c r="B118" s="9" t="s">
        <v>49</v>
      </c>
      <c r="C118" s="41">
        <f t="shared" si="14"/>
        <v>44250</v>
      </c>
      <c r="D118" s="10" t="s">
        <v>18</v>
      </c>
      <c r="E118" s="36" t="str">
        <f t="shared" si="11"/>
        <v>google_wide</v>
      </c>
      <c r="F118" s="10" t="s">
        <v>17</v>
      </c>
      <c r="G118" s="11">
        <v>127823</v>
      </c>
      <c r="H118" s="11">
        <v>241000</v>
      </c>
      <c r="I118" s="12">
        <v>12581.6</v>
      </c>
      <c r="J118" s="40">
        <f t="shared" si="12"/>
        <v>5.0000000000000001E-3</v>
      </c>
      <c r="K118" s="11">
        <v>1205</v>
      </c>
      <c r="L118" s="6" t="b">
        <f t="shared" si="13"/>
        <v>0</v>
      </c>
      <c r="M118" s="11">
        <v>24</v>
      </c>
      <c r="N118" s="6" t="b">
        <f t="shared" si="15"/>
        <v>0</v>
      </c>
      <c r="O118" s="11">
        <v>3</v>
      </c>
      <c r="P118" s="6" t="b">
        <f t="shared" si="21"/>
        <v>0</v>
      </c>
      <c r="Q118" s="12">
        <v>8943</v>
      </c>
      <c r="R118" s="1">
        <f t="shared" si="17"/>
        <v>0</v>
      </c>
      <c r="S118" s="1">
        <f t="shared" si="18"/>
        <v>0</v>
      </c>
      <c r="T118" s="1">
        <f t="shared" si="19"/>
        <v>0</v>
      </c>
      <c r="U118" s="1">
        <f t="shared" si="20"/>
        <v>0</v>
      </c>
    </row>
    <row r="119" spans="1:21" ht="20" customHeight="1" x14ac:dyDescent="0.15">
      <c r="A119" s="8">
        <v>249</v>
      </c>
      <c r="B119" s="9" t="s">
        <v>49</v>
      </c>
      <c r="C119" s="41">
        <f t="shared" si="14"/>
        <v>44250</v>
      </c>
      <c r="D119" s="10" t="s">
        <v>22</v>
      </c>
      <c r="E119" s="36" t="str">
        <f t="shared" si="11"/>
        <v>instagram_tier2</v>
      </c>
      <c r="F119" s="10" t="s">
        <v>14</v>
      </c>
      <c r="G119" s="11">
        <v>983498</v>
      </c>
      <c r="H119" s="11">
        <v>512000</v>
      </c>
      <c r="I119" s="13">
        <v>4285.4399999999996</v>
      </c>
      <c r="J119" s="40">
        <f t="shared" si="12"/>
        <v>5.0000000000000001E-3</v>
      </c>
      <c r="K119" s="11">
        <v>2560</v>
      </c>
      <c r="L119" s="6" t="b">
        <f t="shared" si="13"/>
        <v>0</v>
      </c>
      <c r="M119" s="11">
        <v>51</v>
      </c>
      <c r="N119" s="6" t="b">
        <f t="shared" si="15"/>
        <v>0</v>
      </c>
      <c r="O119" s="11">
        <v>2</v>
      </c>
      <c r="P119" s="6" t="b">
        <f t="shared" si="21"/>
        <v>0</v>
      </c>
      <c r="Q119" s="12">
        <v>2934</v>
      </c>
      <c r="R119" s="1">
        <f t="shared" si="17"/>
        <v>0</v>
      </c>
      <c r="S119" s="1">
        <f t="shared" si="18"/>
        <v>0</v>
      </c>
      <c r="T119" s="1">
        <f t="shared" si="19"/>
        <v>0</v>
      </c>
      <c r="U119" s="1">
        <f t="shared" si="20"/>
        <v>0</v>
      </c>
    </row>
    <row r="120" spans="1:21" ht="20" customHeight="1" x14ac:dyDescent="0.15">
      <c r="A120" s="8">
        <v>265</v>
      </c>
      <c r="B120" s="9" t="s">
        <v>51</v>
      </c>
      <c r="C120" s="41">
        <f t="shared" si="14"/>
        <v>44252</v>
      </c>
      <c r="D120" s="10" t="s">
        <v>13</v>
      </c>
      <c r="E120" s="36" t="str">
        <f t="shared" si="11"/>
        <v>facebook_tier1</v>
      </c>
      <c r="F120" s="10" t="s">
        <v>14</v>
      </c>
      <c r="G120" s="11">
        <v>349043</v>
      </c>
      <c r="H120" s="11">
        <v>94600</v>
      </c>
      <c r="I120" s="12">
        <v>11230.2</v>
      </c>
      <c r="J120" s="40">
        <f t="shared" si="12"/>
        <v>5.0000000000000001E-3</v>
      </c>
      <c r="K120" s="11">
        <v>473</v>
      </c>
      <c r="L120" s="6" t="b">
        <f t="shared" si="13"/>
        <v>0</v>
      </c>
      <c r="M120" s="11">
        <v>15</v>
      </c>
      <c r="N120" s="6" t="b">
        <f t="shared" si="15"/>
        <v>0</v>
      </c>
      <c r="O120" s="11">
        <v>2</v>
      </c>
      <c r="P120" s="6" t="b">
        <f t="shared" si="21"/>
        <v>0</v>
      </c>
      <c r="Q120" s="12">
        <v>10104</v>
      </c>
      <c r="R120" s="1">
        <f t="shared" si="17"/>
        <v>0</v>
      </c>
      <c r="S120" s="1">
        <f t="shared" si="18"/>
        <v>0</v>
      </c>
      <c r="T120" s="1">
        <f t="shared" si="19"/>
        <v>0</v>
      </c>
      <c r="U120" s="1">
        <f t="shared" si="20"/>
        <v>0</v>
      </c>
    </row>
    <row r="121" spans="1:21" ht="20" customHeight="1" x14ac:dyDescent="0.15">
      <c r="A121" s="8">
        <v>266</v>
      </c>
      <c r="B121" s="9" t="s">
        <v>51</v>
      </c>
      <c r="C121" s="41">
        <f t="shared" si="14"/>
        <v>44252</v>
      </c>
      <c r="D121" s="10" t="s">
        <v>15</v>
      </c>
      <c r="E121" s="36" t="str">
        <f t="shared" si="11"/>
        <v>facebook_tier2</v>
      </c>
      <c r="F121" s="10" t="s">
        <v>14</v>
      </c>
      <c r="G121" s="11">
        <v>348934</v>
      </c>
      <c r="H121" s="11">
        <v>131400</v>
      </c>
      <c r="I121" s="12">
        <v>10357</v>
      </c>
      <c r="J121" s="40">
        <f t="shared" si="12"/>
        <v>5.0000000000000001E-3</v>
      </c>
      <c r="K121" s="11">
        <v>657</v>
      </c>
      <c r="L121" s="6" t="b">
        <f t="shared" si="13"/>
        <v>0</v>
      </c>
      <c r="M121" s="11">
        <v>13</v>
      </c>
      <c r="N121" s="6" t="b">
        <f t="shared" si="15"/>
        <v>0</v>
      </c>
      <c r="O121" s="11">
        <v>2</v>
      </c>
      <c r="P121" s="6" t="b">
        <f t="shared" si="21"/>
        <v>0</v>
      </c>
      <c r="Q121" s="12">
        <v>9962</v>
      </c>
      <c r="R121" s="1">
        <f t="shared" si="17"/>
        <v>0</v>
      </c>
      <c r="S121" s="1">
        <f t="shared" si="18"/>
        <v>0</v>
      </c>
      <c r="T121" s="1">
        <f t="shared" si="19"/>
        <v>0</v>
      </c>
      <c r="U121" s="1">
        <f t="shared" si="20"/>
        <v>0</v>
      </c>
    </row>
    <row r="122" spans="1:21" ht="20" customHeight="1" x14ac:dyDescent="0.15">
      <c r="A122" s="8">
        <v>270</v>
      </c>
      <c r="B122" s="9" t="s">
        <v>51</v>
      </c>
      <c r="C122" s="41">
        <f t="shared" si="14"/>
        <v>44252</v>
      </c>
      <c r="D122" s="10" t="s">
        <v>21</v>
      </c>
      <c r="E122" s="36" t="str">
        <f t="shared" si="11"/>
        <v>instagram_tier1</v>
      </c>
      <c r="F122" s="10" t="s">
        <v>14</v>
      </c>
      <c r="G122" s="11">
        <v>9034945</v>
      </c>
      <c r="H122" s="11">
        <v>106000</v>
      </c>
      <c r="I122" s="13">
        <v>2304.0100000000002</v>
      </c>
      <c r="J122" s="40">
        <f t="shared" si="12"/>
        <v>5.0000000000000001E-3</v>
      </c>
      <c r="K122" s="11">
        <v>530</v>
      </c>
      <c r="L122" s="6" t="b">
        <f t="shared" si="13"/>
        <v>0</v>
      </c>
      <c r="M122" s="11">
        <v>6</v>
      </c>
      <c r="N122" s="6" t="b">
        <f t="shared" si="15"/>
        <v>0</v>
      </c>
      <c r="O122" s="11">
        <v>1</v>
      </c>
      <c r="P122" s="6" t="b">
        <f t="shared" si="21"/>
        <v>0</v>
      </c>
      <c r="Q122" s="12">
        <v>5981</v>
      </c>
      <c r="R122" s="1">
        <f t="shared" si="17"/>
        <v>0</v>
      </c>
      <c r="S122" s="1">
        <f t="shared" si="18"/>
        <v>0</v>
      </c>
      <c r="T122" s="1">
        <f t="shared" si="19"/>
        <v>0</v>
      </c>
      <c r="U122" s="1">
        <f t="shared" si="20"/>
        <v>0</v>
      </c>
    </row>
    <row r="123" spans="1:21" ht="20" customHeight="1" x14ac:dyDescent="0.15">
      <c r="A123" s="8">
        <v>279</v>
      </c>
      <c r="B123" s="9" t="s">
        <v>52</v>
      </c>
      <c r="C123" s="41">
        <f t="shared" si="14"/>
        <v>44253</v>
      </c>
      <c r="D123" s="10" t="s">
        <v>18</v>
      </c>
      <c r="E123" s="36" t="str">
        <f t="shared" si="11"/>
        <v>google_wide</v>
      </c>
      <c r="F123" s="10" t="s">
        <v>17</v>
      </c>
      <c r="G123" s="11">
        <v>127823</v>
      </c>
      <c r="H123" s="11">
        <v>240600</v>
      </c>
      <c r="I123" s="12">
        <v>4453.1000000000004</v>
      </c>
      <c r="J123" s="40">
        <f t="shared" si="12"/>
        <v>5.0000000000000001E-3</v>
      </c>
      <c r="K123" s="11">
        <v>1203</v>
      </c>
      <c r="L123" s="6" t="b">
        <f t="shared" si="13"/>
        <v>0</v>
      </c>
      <c r="M123" s="11">
        <v>11</v>
      </c>
      <c r="N123" s="6" t="b">
        <f t="shared" si="15"/>
        <v>0</v>
      </c>
      <c r="O123" s="11">
        <v>1</v>
      </c>
      <c r="P123" s="6" t="b">
        <f t="shared" si="21"/>
        <v>0</v>
      </c>
      <c r="Q123" s="12">
        <v>2283</v>
      </c>
      <c r="R123" s="1">
        <f t="shared" si="17"/>
        <v>0</v>
      </c>
      <c r="S123" s="1">
        <f t="shared" si="18"/>
        <v>0</v>
      </c>
      <c r="T123" s="1">
        <f t="shared" si="19"/>
        <v>0</v>
      </c>
      <c r="U123" s="1">
        <f t="shared" si="20"/>
        <v>0</v>
      </c>
    </row>
    <row r="124" spans="1:21" ht="20" customHeight="1" x14ac:dyDescent="0.15">
      <c r="A124" s="8">
        <v>282</v>
      </c>
      <c r="B124" s="9" t="s">
        <v>52</v>
      </c>
      <c r="C124" s="41">
        <f t="shared" si="14"/>
        <v>44253</v>
      </c>
      <c r="D124" s="10" t="s">
        <v>22</v>
      </c>
      <c r="E124" s="36" t="str">
        <f t="shared" si="11"/>
        <v>instagram_tier2</v>
      </c>
      <c r="F124" s="10" t="s">
        <v>14</v>
      </c>
      <c r="G124" s="11">
        <v>983498</v>
      </c>
      <c r="H124" s="11">
        <v>508600</v>
      </c>
      <c r="I124" s="13">
        <v>2403.54</v>
      </c>
      <c r="J124" s="40">
        <f t="shared" si="12"/>
        <v>5.0000000000000001E-3</v>
      </c>
      <c r="K124" s="11">
        <v>2543</v>
      </c>
      <c r="L124" s="6" t="b">
        <f t="shared" si="13"/>
        <v>0</v>
      </c>
      <c r="M124" s="11">
        <v>73</v>
      </c>
      <c r="N124" s="6" t="b">
        <f t="shared" si="15"/>
        <v>0</v>
      </c>
      <c r="O124" s="11">
        <v>1</v>
      </c>
      <c r="P124" s="6" t="b">
        <f t="shared" si="21"/>
        <v>0</v>
      </c>
      <c r="Q124" s="12">
        <v>1981</v>
      </c>
      <c r="R124" s="1">
        <f t="shared" si="17"/>
        <v>0</v>
      </c>
      <c r="S124" s="1">
        <f t="shared" si="18"/>
        <v>0</v>
      </c>
      <c r="T124" s="1">
        <f t="shared" si="19"/>
        <v>0</v>
      </c>
      <c r="U124" s="1">
        <f t="shared" si="20"/>
        <v>0</v>
      </c>
    </row>
    <row r="125" spans="1:21" ht="20" customHeight="1" x14ac:dyDescent="0.15">
      <c r="A125" s="8">
        <v>288</v>
      </c>
      <c r="B125" s="9" t="s">
        <v>53</v>
      </c>
      <c r="C125" s="41">
        <f t="shared" si="14"/>
        <v>44254</v>
      </c>
      <c r="D125" s="10" t="s">
        <v>15</v>
      </c>
      <c r="E125" s="36" t="str">
        <f t="shared" si="11"/>
        <v>facebook_tier2</v>
      </c>
      <c r="F125" s="10" t="s">
        <v>14</v>
      </c>
      <c r="G125" s="11">
        <v>348934</v>
      </c>
      <c r="H125" s="11">
        <v>66400</v>
      </c>
      <c r="I125" s="13">
        <v>3235.77</v>
      </c>
      <c r="J125" s="40">
        <f t="shared" si="12"/>
        <v>5.0000000000000001E-3</v>
      </c>
      <c r="K125" s="11">
        <v>332</v>
      </c>
      <c r="L125" s="6" t="b">
        <f t="shared" si="13"/>
        <v>0</v>
      </c>
      <c r="M125" s="11">
        <v>13</v>
      </c>
      <c r="N125" s="6" t="b">
        <f t="shared" si="15"/>
        <v>0</v>
      </c>
      <c r="O125" s="11">
        <v>0</v>
      </c>
      <c r="P125" s="6" t="b">
        <f t="shared" si="21"/>
        <v>0</v>
      </c>
      <c r="Q125" s="12">
        <v>0</v>
      </c>
      <c r="R125" s="1">
        <f t="shared" si="17"/>
        <v>0</v>
      </c>
      <c r="S125" s="1">
        <f t="shared" si="18"/>
        <v>0</v>
      </c>
      <c r="T125" s="1">
        <f t="shared" si="19"/>
        <v>0</v>
      </c>
      <c r="U125" s="1">
        <f t="shared" si="20"/>
        <v>0</v>
      </c>
    </row>
    <row r="126" spans="1:21" ht="20" customHeight="1" x14ac:dyDescent="0.15">
      <c r="A126" s="8">
        <v>298</v>
      </c>
      <c r="B126" s="9" t="s">
        <v>54</v>
      </c>
      <c r="C126" s="41">
        <f t="shared" si="14"/>
        <v>44255</v>
      </c>
      <c r="D126" s="10" t="s">
        <v>13</v>
      </c>
      <c r="E126" s="36" t="str">
        <f t="shared" si="11"/>
        <v>facebook_tier1</v>
      </c>
      <c r="F126" s="10" t="s">
        <v>14</v>
      </c>
      <c r="G126" s="11">
        <v>349043</v>
      </c>
      <c r="H126" s="11">
        <v>97200</v>
      </c>
      <c r="I126" s="12">
        <v>6440.5</v>
      </c>
      <c r="J126" s="40">
        <f t="shared" si="12"/>
        <v>5.0000000000000001E-3</v>
      </c>
      <c r="K126" s="11">
        <v>486</v>
      </c>
      <c r="L126" s="6" t="b">
        <f t="shared" si="13"/>
        <v>0</v>
      </c>
      <c r="M126" s="11">
        <v>11</v>
      </c>
      <c r="N126" s="6" t="b">
        <f t="shared" si="15"/>
        <v>0</v>
      </c>
      <c r="O126" s="11">
        <v>1</v>
      </c>
      <c r="P126" s="6" t="b">
        <f t="shared" si="21"/>
        <v>0</v>
      </c>
      <c r="Q126" s="12">
        <v>4981</v>
      </c>
      <c r="R126" s="1">
        <f t="shared" si="17"/>
        <v>0</v>
      </c>
      <c r="S126" s="1">
        <f t="shared" si="18"/>
        <v>0</v>
      </c>
      <c r="T126" s="1">
        <f t="shared" si="19"/>
        <v>0</v>
      </c>
      <c r="U126" s="1">
        <f t="shared" si="20"/>
        <v>0</v>
      </c>
    </row>
    <row r="127" spans="1:21" ht="20" customHeight="1" x14ac:dyDescent="0.15">
      <c r="A127" s="8">
        <v>299</v>
      </c>
      <c r="B127" s="9" t="s">
        <v>54</v>
      </c>
      <c r="C127" s="41">
        <f t="shared" si="14"/>
        <v>44255</v>
      </c>
      <c r="D127" s="10" t="s">
        <v>15</v>
      </c>
      <c r="E127" s="36" t="str">
        <f t="shared" si="11"/>
        <v>facebook_tier2</v>
      </c>
      <c r="F127" s="10" t="s">
        <v>14</v>
      </c>
      <c r="G127" s="11">
        <v>348934</v>
      </c>
      <c r="H127" s="11">
        <v>132200</v>
      </c>
      <c r="I127" s="13">
        <v>8665.5499999999993</v>
      </c>
      <c r="J127" s="40">
        <f t="shared" si="12"/>
        <v>5.0000000000000001E-3</v>
      </c>
      <c r="K127" s="11">
        <v>661</v>
      </c>
      <c r="L127" s="6" t="b">
        <f t="shared" si="13"/>
        <v>0</v>
      </c>
      <c r="M127" s="11">
        <v>13</v>
      </c>
      <c r="N127" s="6" t="b">
        <f t="shared" si="15"/>
        <v>0</v>
      </c>
      <c r="O127" s="11">
        <v>1</v>
      </c>
      <c r="P127" s="6" t="b">
        <f t="shared" si="21"/>
        <v>0</v>
      </c>
      <c r="Q127" s="12">
        <v>5509</v>
      </c>
      <c r="R127" s="1">
        <f t="shared" si="17"/>
        <v>0</v>
      </c>
      <c r="S127" s="1">
        <f t="shared" si="18"/>
        <v>0</v>
      </c>
      <c r="T127" s="1">
        <f t="shared" si="19"/>
        <v>0</v>
      </c>
      <c r="U127" s="1">
        <f t="shared" si="20"/>
        <v>0</v>
      </c>
    </row>
    <row r="128" spans="1:21" ht="20" customHeight="1" x14ac:dyDescent="0.15">
      <c r="A128" s="8">
        <v>254</v>
      </c>
      <c r="B128" s="9" t="s">
        <v>50</v>
      </c>
      <c r="C128" s="41">
        <f t="shared" si="14"/>
        <v>44251</v>
      </c>
      <c r="D128" s="10" t="s">
        <v>13</v>
      </c>
      <c r="E128" s="36" t="str">
        <f t="shared" si="11"/>
        <v>facebook_tier1</v>
      </c>
      <c r="F128" s="10" t="s">
        <v>14</v>
      </c>
      <c r="G128" s="11">
        <v>349043</v>
      </c>
      <c r="H128" s="11">
        <v>479596</v>
      </c>
      <c r="I128" s="12">
        <v>94564.2</v>
      </c>
      <c r="J128" s="40">
        <f t="shared" si="12"/>
        <v>5.0208925845920318E-3</v>
      </c>
      <c r="K128" s="11">
        <v>2408</v>
      </c>
      <c r="L128" s="6" t="b">
        <f t="shared" si="13"/>
        <v>0</v>
      </c>
      <c r="M128" s="11">
        <v>93</v>
      </c>
      <c r="N128" s="6" t="b">
        <f t="shared" si="15"/>
        <v>0</v>
      </c>
      <c r="O128" s="11">
        <v>15</v>
      </c>
      <c r="P128" s="6" t="b">
        <f t="shared" si="21"/>
        <v>0</v>
      </c>
      <c r="Q128" s="12">
        <v>81825</v>
      </c>
      <c r="R128" s="1">
        <f t="shared" si="17"/>
        <v>0</v>
      </c>
      <c r="S128" s="1">
        <f t="shared" si="18"/>
        <v>0</v>
      </c>
      <c r="T128" s="1">
        <f t="shared" si="19"/>
        <v>0</v>
      </c>
      <c r="U128" s="1">
        <f t="shared" si="20"/>
        <v>0</v>
      </c>
    </row>
    <row r="129" spans="1:21" ht="20" customHeight="1" x14ac:dyDescent="0.15">
      <c r="A129" s="8">
        <v>122</v>
      </c>
      <c r="B129" s="9" t="s">
        <v>38</v>
      </c>
      <c r="C129" s="41">
        <f t="shared" si="14"/>
        <v>44239</v>
      </c>
      <c r="D129" s="10" t="s">
        <v>13</v>
      </c>
      <c r="E129" s="36" t="str">
        <f t="shared" si="11"/>
        <v>facebook_tier1</v>
      </c>
      <c r="F129" s="10" t="s">
        <v>14</v>
      </c>
      <c r="G129" s="11">
        <v>349043</v>
      </c>
      <c r="H129" s="11">
        <v>1804868</v>
      </c>
      <c r="I129" s="12">
        <v>110004</v>
      </c>
      <c r="J129" s="40">
        <f t="shared" si="12"/>
        <v>5.3228269324958949E-3</v>
      </c>
      <c r="K129" s="11">
        <v>9607</v>
      </c>
      <c r="L129" s="6" t="b">
        <f t="shared" si="13"/>
        <v>0</v>
      </c>
      <c r="M129" s="11">
        <v>192</v>
      </c>
      <c r="N129" s="6" t="b">
        <f t="shared" si="15"/>
        <v>0</v>
      </c>
      <c r="O129" s="11">
        <v>23</v>
      </c>
      <c r="P129" s="6" t="b">
        <f t="shared" si="21"/>
        <v>0</v>
      </c>
      <c r="Q129" s="12">
        <v>96163</v>
      </c>
      <c r="R129" s="1">
        <f t="shared" si="17"/>
        <v>0</v>
      </c>
      <c r="S129" s="1">
        <f t="shared" si="18"/>
        <v>0</v>
      </c>
      <c r="T129" s="1">
        <f t="shared" si="19"/>
        <v>0</v>
      </c>
      <c r="U129" s="1">
        <f t="shared" si="20"/>
        <v>0</v>
      </c>
    </row>
    <row r="130" spans="1:21" ht="20" customHeight="1" x14ac:dyDescent="0.15">
      <c r="A130" s="8">
        <v>83</v>
      </c>
      <c r="B130" s="9" t="s">
        <v>34</v>
      </c>
      <c r="C130" s="41">
        <f t="shared" si="14"/>
        <v>44235</v>
      </c>
      <c r="D130" s="10" t="s">
        <v>21</v>
      </c>
      <c r="E130" s="36" t="str">
        <f t="shared" si="11"/>
        <v>instagram_tier1</v>
      </c>
      <c r="F130" s="10" t="s">
        <v>14</v>
      </c>
      <c r="G130" s="11">
        <v>9034945</v>
      </c>
      <c r="H130" s="11">
        <v>472836</v>
      </c>
      <c r="I130" s="13">
        <v>330.76</v>
      </c>
      <c r="J130" s="40">
        <f t="shared" si="12"/>
        <v>5.6890761278752039E-3</v>
      </c>
      <c r="K130" s="11">
        <v>2690</v>
      </c>
      <c r="L130" s="6" t="b">
        <f t="shared" si="13"/>
        <v>0</v>
      </c>
      <c r="M130" s="11">
        <v>1</v>
      </c>
      <c r="N130" s="6" t="b">
        <f t="shared" si="15"/>
        <v>0</v>
      </c>
      <c r="O130" s="11">
        <v>0</v>
      </c>
      <c r="P130" s="6" t="b">
        <f t="shared" si="21"/>
        <v>0</v>
      </c>
      <c r="Q130" s="12">
        <v>0</v>
      </c>
      <c r="R130" s="1">
        <f t="shared" si="17"/>
        <v>0</v>
      </c>
      <c r="S130" s="1">
        <f t="shared" si="18"/>
        <v>0</v>
      </c>
      <c r="T130" s="1">
        <f t="shared" si="19"/>
        <v>0</v>
      </c>
      <c r="U130" s="1">
        <f t="shared" si="20"/>
        <v>0</v>
      </c>
    </row>
    <row r="131" spans="1:21" ht="20" customHeight="1" x14ac:dyDescent="0.15">
      <c r="A131" s="8">
        <v>114</v>
      </c>
      <c r="B131" s="9" t="s">
        <v>37</v>
      </c>
      <c r="C131" s="41">
        <f t="shared" si="14"/>
        <v>44238</v>
      </c>
      <c r="D131" s="10" t="s">
        <v>18</v>
      </c>
      <c r="E131" s="36" t="str">
        <f t="shared" ref="E131:E194" si="22">TRIM(LOWER(D131))</f>
        <v>google_wide</v>
      </c>
      <c r="F131" s="10" t="s">
        <v>17</v>
      </c>
      <c r="G131" s="11">
        <v>127823</v>
      </c>
      <c r="H131" s="11">
        <v>1254537</v>
      </c>
      <c r="I131" s="12">
        <v>51422.5</v>
      </c>
      <c r="J131" s="40">
        <f t="shared" ref="J131:J194" si="23">(K131)/(H131)</f>
        <v>5.7375748981496758E-3</v>
      </c>
      <c r="K131" s="11">
        <v>7198</v>
      </c>
      <c r="L131" s="6" t="b">
        <f t="shared" ref="L131:L194" si="24">(K131)&gt;(H131)</f>
        <v>0</v>
      </c>
      <c r="M131" s="11">
        <v>144</v>
      </c>
      <c r="N131" s="6" t="b">
        <f t="shared" si="15"/>
        <v>0</v>
      </c>
      <c r="O131" s="11">
        <v>14</v>
      </c>
      <c r="P131" s="6" t="b">
        <f t="shared" si="21"/>
        <v>0</v>
      </c>
      <c r="Q131" s="12">
        <v>41986</v>
      </c>
      <c r="R131" s="1">
        <f t="shared" si="17"/>
        <v>0</v>
      </c>
      <c r="S131" s="1">
        <f t="shared" si="18"/>
        <v>0</v>
      </c>
      <c r="T131" s="1">
        <f t="shared" si="19"/>
        <v>0</v>
      </c>
      <c r="U131" s="1">
        <f t="shared" si="20"/>
        <v>0</v>
      </c>
    </row>
    <row r="132" spans="1:21" ht="20" customHeight="1" x14ac:dyDescent="0.15">
      <c r="A132" s="8">
        <v>144</v>
      </c>
      <c r="B132" s="9" t="s">
        <v>40</v>
      </c>
      <c r="C132" s="41">
        <f t="shared" ref="C132:C195" si="25">DATEVALUE(B132)</f>
        <v>44241</v>
      </c>
      <c r="D132" s="10" t="s">
        <v>13</v>
      </c>
      <c r="E132" s="36" t="str">
        <f t="shared" si="22"/>
        <v>facebook_tier1</v>
      </c>
      <c r="F132" s="10" t="s">
        <v>14</v>
      </c>
      <c r="G132" s="11">
        <v>349043</v>
      </c>
      <c r="H132" s="11">
        <v>2452315</v>
      </c>
      <c r="I132" s="12">
        <v>60244.9</v>
      </c>
      <c r="J132" s="40">
        <f t="shared" si="23"/>
        <v>5.8744492448971689E-3</v>
      </c>
      <c r="K132" s="11">
        <v>14406</v>
      </c>
      <c r="L132" s="6" t="b">
        <f t="shared" si="24"/>
        <v>0</v>
      </c>
      <c r="M132" s="11">
        <v>110</v>
      </c>
      <c r="N132" s="6" t="b">
        <f t="shared" ref="N132:N195" si="26">(M132)&gt;(K132)</f>
        <v>0</v>
      </c>
      <c r="O132" s="11">
        <v>14</v>
      </c>
      <c r="P132" s="6" t="b">
        <f t="shared" ref="P132:P163" si="27">(O131)&gt;(M131)</f>
        <v>0</v>
      </c>
      <c r="Q132" s="12">
        <v>63560</v>
      </c>
      <c r="R132" s="1">
        <f t="shared" ref="R132:R195" si="28">MOD(H132, 1)</f>
        <v>0</v>
      </c>
      <c r="S132" s="1">
        <f t="shared" ref="S132:S195" si="29">MOD(K132, 1)</f>
        <v>0</v>
      </c>
      <c r="T132" s="1">
        <f t="shared" ref="T132:T195" si="30">MOD(M132,1)</f>
        <v>0</v>
      </c>
      <c r="U132" s="1">
        <f t="shared" ref="U132:U195" si="31">MOD(O132,1)</f>
        <v>0</v>
      </c>
    </row>
    <row r="133" spans="1:21" ht="20" customHeight="1" x14ac:dyDescent="0.15">
      <c r="A133" s="8">
        <v>90</v>
      </c>
      <c r="B133" s="9" t="s">
        <v>35</v>
      </c>
      <c r="C133" s="41">
        <f t="shared" si="25"/>
        <v>44236</v>
      </c>
      <c r="D133" s="10" t="s">
        <v>15</v>
      </c>
      <c r="E133" s="36" t="str">
        <f t="shared" si="22"/>
        <v>facebook_tier2</v>
      </c>
      <c r="F133" s="10" t="s">
        <v>14</v>
      </c>
      <c r="G133" s="11">
        <v>348934</v>
      </c>
      <c r="H133" s="11">
        <v>555116</v>
      </c>
      <c r="I133" s="12">
        <v>62119.4</v>
      </c>
      <c r="J133" s="40">
        <f t="shared" si="23"/>
        <v>5.9501077252322038E-3</v>
      </c>
      <c r="K133" s="11">
        <v>3303</v>
      </c>
      <c r="L133" s="6" t="b">
        <f t="shared" si="24"/>
        <v>0</v>
      </c>
      <c r="M133" s="11">
        <v>96</v>
      </c>
      <c r="N133" s="6" t="b">
        <f t="shared" si="26"/>
        <v>0</v>
      </c>
      <c r="O133" s="11">
        <v>11</v>
      </c>
      <c r="P133" s="6" t="b">
        <f t="shared" si="27"/>
        <v>0</v>
      </c>
      <c r="Q133" s="12">
        <v>54791</v>
      </c>
      <c r="R133" s="1">
        <f t="shared" si="28"/>
        <v>0</v>
      </c>
      <c r="S133" s="1">
        <f t="shared" si="29"/>
        <v>0</v>
      </c>
      <c r="T133" s="1">
        <f t="shared" si="30"/>
        <v>0</v>
      </c>
      <c r="U133" s="1">
        <f t="shared" si="31"/>
        <v>0</v>
      </c>
    </row>
    <row r="134" spans="1:21" ht="20" customHeight="1" x14ac:dyDescent="0.15">
      <c r="A134" s="8">
        <v>150</v>
      </c>
      <c r="B134" s="9" t="s">
        <v>40</v>
      </c>
      <c r="C134" s="41">
        <f t="shared" si="25"/>
        <v>44241</v>
      </c>
      <c r="D134" s="10" t="s">
        <v>22</v>
      </c>
      <c r="E134" s="36" t="str">
        <f t="shared" si="22"/>
        <v>instagram_tier2</v>
      </c>
      <c r="F134" s="10" t="s">
        <v>14</v>
      </c>
      <c r="G134" s="11">
        <v>983498</v>
      </c>
      <c r="H134" s="11">
        <v>5130500</v>
      </c>
      <c r="I134" s="12">
        <v>218228</v>
      </c>
      <c r="J134" s="40">
        <f t="shared" si="23"/>
        <v>5.9647207874476173E-3</v>
      </c>
      <c r="K134" s="11">
        <v>30602</v>
      </c>
      <c r="L134" s="6" t="b">
        <f t="shared" si="24"/>
        <v>0</v>
      </c>
      <c r="M134" s="11">
        <v>935</v>
      </c>
      <c r="N134" s="6" t="b">
        <f t="shared" si="26"/>
        <v>0</v>
      </c>
      <c r="O134" s="11">
        <v>54</v>
      </c>
      <c r="P134" s="6" t="b">
        <f t="shared" si="27"/>
        <v>0</v>
      </c>
      <c r="Q134" s="12">
        <v>119718</v>
      </c>
      <c r="R134" s="1">
        <f t="shared" si="28"/>
        <v>0</v>
      </c>
      <c r="S134" s="1">
        <f t="shared" si="29"/>
        <v>0</v>
      </c>
      <c r="T134" s="1">
        <f t="shared" si="30"/>
        <v>0</v>
      </c>
      <c r="U134" s="1">
        <f t="shared" si="31"/>
        <v>0</v>
      </c>
    </row>
    <row r="135" spans="1:21" ht="20" customHeight="1" x14ac:dyDescent="0.15">
      <c r="A135" s="8">
        <v>103</v>
      </c>
      <c r="B135" s="9" t="s">
        <v>36</v>
      </c>
      <c r="C135" s="41">
        <f t="shared" si="25"/>
        <v>44237</v>
      </c>
      <c r="D135" s="10" t="s">
        <v>18</v>
      </c>
      <c r="E135" s="36" t="str">
        <f t="shared" si="22"/>
        <v>google_wide</v>
      </c>
      <c r="F135" s="10" t="s">
        <v>17</v>
      </c>
      <c r="G135" s="11">
        <v>127823</v>
      </c>
      <c r="H135" s="11">
        <v>797238</v>
      </c>
      <c r="I135" s="12">
        <v>67577.8</v>
      </c>
      <c r="J135" s="40">
        <f t="shared" si="23"/>
        <v>6.0170237745817432E-3</v>
      </c>
      <c r="K135" s="11">
        <v>4797</v>
      </c>
      <c r="L135" s="6" t="b">
        <f t="shared" si="24"/>
        <v>0</v>
      </c>
      <c r="M135" s="11">
        <v>154</v>
      </c>
      <c r="N135" s="6" t="b">
        <f t="shared" si="26"/>
        <v>0</v>
      </c>
      <c r="O135" s="11">
        <v>19</v>
      </c>
      <c r="P135" s="6" t="b">
        <f t="shared" si="27"/>
        <v>0</v>
      </c>
      <c r="Q135" s="12">
        <v>42598</v>
      </c>
      <c r="R135" s="1">
        <f t="shared" si="28"/>
        <v>0</v>
      </c>
      <c r="S135" s="1">
        <f t="shared" si="29"/>
        <v>0</v>
      </c>
      <c r="T135" s="1">
        <f t="shared" si="30"/>
        <v>0</v>
      </c>
      <c r="U135" s="1">
        <f t="shared" si="31"/>
        <v>0</v>
      </c>
    </row>
    <row r="136" spans="1:21" ht="20" customHeight="1" x14ac:dyDescent="0.15">
      <c r="A136" s="8">
        <v>222</v>
      </c>
      <c r="B136" s="9" t="s">
        <v>47</v>
      </c>
      <c r="C136" s="41">
        <f t="shared" si="25"/>
        <v>44248</v>
      </c>
      <c r="D136" s="10" t="s">
        <v>15</v>
      </c>
      <c r="E136" s="36" t="str">
        <f t="shared" si="22"/>
        <v>facebook_tier2</v>
      </c>
      <c r="F136" s="10" t="s">
        <v>14</v>
      </c>
      <c r="G136" s="11">
        <v>348934</v>
      </c>
      <c r="H136" s="11">
        <v>543787</v>
      </c>
      <c r="I136" s="12">
        <v>39481</v>
      </c>
      <c r="J136" s="40">
        <f t="shared" si="23"/>
        <v>6.0667136213259972E-3</v>
      </c>
      <c r="K136" s="11">
        <v>3299</v>
      </c>
      <c r="L136" s="6" t="b">
        <f t="shared" si="24"/>
        <v>0</v>
      </c>
      <c r="M136" s="11">
        <v>113</v>
      </c>
      <c r="N136" s="6" t="b">
        <f t="shared" si="26"/>
        <v>0</v>
      </c>
      <c r="O136" s="11">
        <v>6</v>
      </c>
      <c r="P136" s="6" t="b">
        <f t="shared" si="27"/>
        <v>0</v>
      </c>
      <c r="Q136" s="12">
        <v>29538</v>
      </c>
      <c r="R136" s="1">
        <f t="shared" si="28"/>
        <v>0</v>
      </c>
      <c r="S136" s="1">
        <f t="shared" si="29"/>
        <v>0</v>
      </c>
      <c r="T136" s="1">
        <f t="shared" si="30"/>
        <v>0</v>
      </c>
      <c r="U136" s="1">
        <f t="shared" si="31"/>
        <v>0</v>
      </c>
    </row>
    <row r="137" spans="1:21" ht="20" customHeight="1" x14ac:dyDescent="0.15">
      <c r="A137" s="8">
        <v>290</v>
      </c>
      <c r="B137" s="9" t="s">
        <v>53</v>
      </c>
      <c r="C137" s="41">
        <f t="shared" si="25"/>
        <v>44254</v>
      </c>
      <c r="D137" s="10" t="s">
        <v>18</v>
      </c>
      <c r="E137" s="36" t="str">
        <f t="shared" si="22"/>
        <v>google_wide</v>
      </c>
      <c r="F137" s="10" t="s">
        <v>17</v>
      </c>
      <c r="G137" s="11">
        <v>127823</v>
      </c>
      <c r="H137" s="11">
        <v>40004</v>
      </c>
      <c r="I137" s="13">
        <v>1487.24</v>
      </c>
      <c r="J137" s="40">
        <f t="shared" si="23"/>
        <v>6.0743925607439258E-3</v>
      </c>
      <c r="K137" s="11">
        <v>243</v>
      </c>
      <c r="L137" s="6" t="b">
        <f t="shared" si="24"/>
        <v>0</v>
      </c>
      <c r="M137" s="11">
        <v>5</v>
      </c>
      <c r="N137" s="6" t="b">
        <f t="shared" si="26"/>
        <v>0</v>
      </c>
      <c r="O137" s="11">
        <v>0</v>
      </c>
      <c r="P137" s="6" t="b">
        <f t="shared" si="27"/>
        <v>0</v>
      </c>
      <c r="Q137" s="12">
        <v>0</v>
      </c>
      <c r="R137" s="1">
        <f t="shared" si="28"/>
        <v>0</v>
      </c>
      <c r="S137" s="1">
        <f t="shared" si="29"/>
        <v>0</v>
      </c>
      <c r="T137" s="1">
        <f t="shared" si="30"/>
        <v>0</v>
      </c>
      <c r="U137" s="1">
        <f t="shared" si="31"/>
        <v>0</v>
      </c>
    </row>
    <row r="138" spans="1:21" ht="20" customHeight="1" x14ac:dyDescent="0.15">
      <c r="A138" s="8">
        <v>174</v>
      </c>
      <c r="B138" s="9" t="s">
        <v>42</v>
      </c>
      <c r="C138" s="41">
        <f t="shared" si="25"/>
        <v>44243</v>
      </c>
      <c r="D138" s="10" t="s">
        <v>24</v>
      </c>
      <c r="E138" s="36" t="str">
        <f t="shared" si="22"/>
        <v>facebook_lal</v>
      </c>
      <c r="F138" s="10" t="s">
        <v>14</v>
      </c>
      <c r="G138" s="11">
        <v>544756</v>
      </c>
      <c r="H138" s="11">
        <v>1576818</v>
      </c>
      <c r="I138" s="12">
        <v>345629</v>
      </c>
      <c r="J138" s="40">
        <f t="shared" si="23"/>
        <v>6.086307994962006E-3</v>
      </c>
      <c r="K138" s="11">
        <v>9597</v>
      </c>
      <c r="L138" s="6" t="b">
        <f t="shared" si="24"/>
        <v>0</v>
      </c>
      <c r="M138" s="11">
        <v>292</v>
      </c>
      <c r="N138" s="6" t="b">
        <f t="shared" si="26"/>
        <v>0</v>
      </c>
      <c r="O138" s="11">
        <v>39</v>
      </c>
      <c r="P138" s="6" t="b">
        <f t="shared" si="27"/>
        <v>0</v>
      </c>
      <c r="Q138" s="12">
        <v>25857</v>
      </c>
      <c r="R138" s="1">
        <f t="shared" si="28"/>
        <v>0</v>
      </c>
      <c r="S138" s="1">
        <f t="shared" si="29"/>
        <v>0</v>
      </c>
      <c r="T138" s="1">
        <f t="shared" si="30"/>
        <v>0</v>
      </c>
      <c r="U138" s="1">
        <f t="shared" si="31"/>
        <v>0</v>
      </c>
    </row>
    <row r="139" spans="1:21" ht="20" customHeight="1" x14ac:dyDescent="0.15">
      <c r="A139" s="8">
        <v>175</v>
      </c>
      <c r="B139" s="9" t="s">
        <v>42</v>
      </c>
      <c r="C139" s="41">
        <f t="shared" si="25"/>
        <v>44243</v>
      </c>
      <c r="D139" s="10" t="s">
        <v>25</v>
      </c>
      <c r="E139" s="36" t="str">
        <f t="shared" si="22"/>
        <v>instagram_blogger</v>
      </c>
      <c r="F139" s="10" t="s">
        <v>20</v>
      </c>
      <c r="G139" s="11">
        <v>374754</v>
      </c>
      <c r="H139" s="11">
        <v>3937010</v>
      </c>
      <c r="I139" s="12">
        <v>620903</v>
      </c>
      <c r="J139" s="40">
        <f t="shared" si="23"/>
        <v>6.0944727089847373E-3</v>
      </c>
      <c r="K139" s="11">
        <v>23994</v>
      </c>
      <c r="L139" s="6" t="b">
        <f t="shared" si="24"/>
        <v>0</v>
      </c>
      <c r="M139" s="11">
        <v>833</v>
      </c>
      <c r="N139" s="6" t="b">
        <f t="shared" si="26"/>
        <v>0</v>
      </c>
      <c r="O139" s="11">
        <v>160</v>
      </c>
      <c r="P139" s="6" t="b">
        <f t="shared" si="27"/>
        <v>0</v>
      </c>
      <c r="Q139" s="12">
        <v>939360</v>
      </c>
      <c r="R139" s="1">
        <f t="shared" si="28"/>
        <v>0</v>
      </c>
      <c r="S139" s="1">
        <f t="shared" si="29"/>
        <v>0</v>
      </c>
      <c r="T139" s="1">
        <f t="shared" si="30"/>
        <v>0</v>
      </c>
      <c r="U139" s="1">
        <f t="shared" si="31"/>
        <v>0</v>
      </c>
    </row>
    <row r="140" spans="1:21" ht="20" customHeight="1" x14ac:dyDescent="0.15">
      <c r="A140" s="8">
        <v>104</v>
      </c>
      <c r="B140" s="9" t="s">
        <v>36</v>
      </c>
      <c r="C140" s="41">
        <f t="shared" si="25"/>
        <v>44237</v>
      </c>
      <c r="D140" s="10" t="s">
        <v>19</v>
      </c>
      <c r="E140" s="36" t="str">
        <f t="shared" si="22"/>
        <v>youtube_blogger</v>
      </c>
      <c r="F140" s="10" t="s">
        <v>20</v>
      </c>
      <c r="G140" s="11">
        <v>10934</v>
      </c>
      <c r="H140" s="11">
        <v>1469962</v>
      </c>
      <c r="I140" s="12">
        <v>19831.400000000001</v>
      </c>
      <c r="J140" s="40">
        <f t="shared" si="23"/>
        <v>6.121246671682669E-3</v>
      </c>
      <c r="K140" s="11">
        <v>8998</v>
      </c>
      <c r="L140" s="6" t="b">
        <f t="shared" si="24"/>
        <v>0</v>
      </c>
      <c r="M140" s="11">
        <v>80</v>
      </c>
      <c r="N140" s="6" t="b">
        <f t="shared" si="26"/>
        <v>0</v>
      </c>
      <c r="O140" s="11">
        <v>16</v>
      </c>
      <c r="P140" s="6" t="b">
        <f t="shared" si="27"/>
        <v>0</v>
      </c>
      <c r="Q140" s="12">
        <v>130768</v>
      </c>
      <c r="R140" s="1">
        <f t="shared" si="28"/>
        <v>0</v>
      </c>
      <c r="S140" s="1">
        <f t="shared" si="29"/>
        <v>0</v>
      </c>
      <c r="T140" s="1">
        <f t="shared" si="30"/>
        <v>0</v>
      </c>
      <c r="U140" s="1">
        <f t="shared" si="31"/>
        <v>0</v>
      </c>
    </row>
    <row r="141" spans="1:21" ht="20" customHeight="1" x14ac:dyDescent="0.15">
      <c r="A141" s="8">
        <v>292</v>
      </c>
      <c r="B141" s="9" t="s">
        <v>53</v>
      </c>
      <c r="C141" s="41">
        <f t="shared" si="25"/>
        <v>44254</v>
      </c>
      <c r="D141" s="10" t="s">
        <v>21</v>
      </c>
      <c r="E141" s="36" t="str">
        <f t="shared" si="22"/>
        <v>instagram_tier1</v>
      </c>
      <c r="F141" s="10" t="s">
        <v>14</v>
      </c>
      <c r="G141" s="11">
        <v>9034945</v>
      </c>
      <c r="H141" s="11">
        <v>44112</v>
      </c>
      <c r="I141" s="13">
        <v>1832.16</v>
      </c>
      <c r="J141" s="40">
        <f t="shared" si="23"/>
        <v>6.234131302140007E-3</v>
      </c>
      <c r="K141" s="11">
        <v>275</v>
      </c>
      <c r="L141" s="6" t="b">
        <f t="shared" si="24"/>
        <v>0</v>
      </c>
      <c r="M141" s="11">
        <v>6</v>
      </c>
      <c r="N141" s="6" t="b">
        <f t="shared" si="26"/>
        <v>0</v>
      </c>
      <c r="O141" s="11">
        <v>1</v>
      </c>
      <c r="P141" s="6" t="b">
        <f t="shared" si="27"/>
        <v>0</v>
      </c>
      <c r="Q141" s="12">
        <v>5981</v>
      </c>
      <c r="R141" s="1">
        <f t="shared" si="28"/>
        <v>0</v>
      </c>
      <c r="S141" s="1">
        <f t="shared" si="29"/>
        <v>0</v>
      </c>
      <c r="T141" s="1">
        <f t="shared" si="30"/>
        <v>0</v>
      </c>
      <c r="U141" s="1">
        <f t="shared" si="31"/>
        <v>0</v>
      </c>
    </row>
    <row r="142" spans="1:21" ht="20" customHeight="1" x14ac:dyDescent="0.15">
      <c r="A142" s="8">
        <v>37</v>
      </c>
      <c r="B142" s="9" t="s">
        <v>30</v>
      </c>
      <c r="C142" s="41">
        <f t="shared" si="25"/>
        <v>44231</v>
      </c>
      <c r="D142" s="10" t="s">
        <v>18</v>
      </c>
      <c r="E142" s="36" t="str">
        <f t="shared" si="22"/>
        <v>google_wide</v>
      </c>
      <c r="F142" s="10" t="s">
        <v>17</v>
      </c>
      <c r="G142" s="11">
        <v>127823</v>
      </c>
      <c r="H142" s="11">
        <v>1531679</v>
      </c>
      <c r="I142" s="12">
        <v>60108.800000000003</v>
      </c>
      <c r="J142" s="40">
        <f t="shared" si="23"/>
        <v>6.2617558901049107E-3</v>
      </c>
      <c r="K142" s="11">
        <v>9591</v>
      </c>
      <c r="L142" s="6" t="b">
        <f t="shared" si="24"/>
        <v>0</v>
      </c>
      <c r="M142" s="11">
        <v>234</v>
      </c>
      <c r="N142" s="6" t="b">
        <f t="shared" si="26"/>
        <v>0</v>
      </c>
      <c r="O142" s="11">
        <v>17</v>
      </c>
      <c r="P142" s="6" t="b">
        <f t="shared" si="27"/>
        <v>0</v>
      </c>
      <c r="Q142" s="12">
        <v>58990</v>
      </c>
      <c r="R142" s="1">
        <f t="shared" si="28"/>
        <v>0</v>
      </c>
      <c r="S142" s="1">
        <f t="shared" si="29"/>
        <v>0</v>
      </c>
      <c r="T142" s="1">
        <f t="shared" si="30"/>
        <v>0</v>
      </c>
      <c r="U142" s="1">
        <f t="shared" si="31"/>
        <v>0</v>
      </c>
    </row>
    <row r="143" spans="1:21" ht="20" customHeight="1" x14ac:dyDescent="0.15">
      <c r="A143" s="8">
        <v>97</v>
      </c>
      <c r="B143" s="9" t="s">
        <v>35</v>
      </c>
      <c r="C143" s="41">
        <f t="shared" si="25"/>
        <v>44236</v>
      </c>
      <c r="D143" s="10" t="s">
        <v>24</v>
      </c>
      <c r="E143" s="36" t="str">
        <f t="shared" si="22"/>
        <v>facebook_lal</v>
      </c>
      <c r="F143" s="10" t="s">
        <v>14</v>
      </c>
      <c r="G143" s="11">
        <v>544756</v>
      </c>
      <c r="H143" s="11">
        <v>189854</v>
      </c>
      <c r="I143" s="12">
        <v>29091.4</v>
      </c>
      <c r="J143" s="40">
        <f t="shared" si="23"/>
        <v>6.3101119807852353E-3</v>
      </c>
      <c r="K143" s="11">
        <v>1198</v>
      </c>
      <c r="L143" s="6" t="b">
        <f t="shared" si="24"/>
        <v>0</v>
      </c>
      <c r="M143" s="11">
        <v>24</v>
      </c>
      <c r="N143" s="6" t="b">
        <f t="shared" si="26"/>
        <v>0</v>
      </c>
      <c r="O143" s="11">
        <v>3</v>
      </c>
      <c r="P143" s="6" t="b">
        <f t="shared" si="27"/>
        <v>0</v>
      </c>
      <c r="Q143" s="12">
        <v>2943</v>
      </c>
      <c r="R143" s="1">
        <f t="shared" si="28"/>
        <v>0</v>
      </c>
      <c r="S143" s="1">
        <f t="shared" si="29"/>
        <v>0</v>
      </c>
      <c r="T143" s="1">
        <f t="shared" si="30"/>
        <v>0</v>
      </c>
      <c r="U143" s="1">
        <f t="shared" si="31"/>
        <v>0</v>
      </c>
    </row>
    <row r="144" spans="1:21" ht="20" customHeight="1" x14ac:dyDescent="0.15">
      <c r="A144" s="8">
        <v>225</v>
      </c>
      <c r="B144" s="9" t="s">
        <v>47</v>
      </c>
      <c r="C144" s="41">
        <f t="shared" si="25"/>
        <v>44248</v>
      </c>
      <c r="D144" s="10" t="s">
        <v>19</v>
      </c>
      <c r="E144" s="36" t="str">
        <f t="shared" si="22"/>
        <v>youtube_blogger</v>
      </c>
      <c r="F144" s="10" t="s">
        <v>20</v>
      </c>
      <c r="G144" s="11">
        <v>10934</v>
      </c>
      <c r="H144" s="11">
        <v>713896</v>
      </c>
      <c r="I144" s="12">
        <v>30801</v>
      </c>
      <c r="J144" s="40">
        <f t="shared" si="23"/>
        <v>6.3132445062025842E-3</v>
      </c>
      <c r="K144" s="11">
        <v>4507</v>
      </c>
      <c r="L144" s="6" t="b">
        <f t="shared" si="24"/>
        <v>0</v>
      </c>
      <c r="M144" s="11">
        <v>90</v>
      </c>
      <c r="N144" s="6" t="b">
        <f t="shared" si="26"/>
        <v>0</v>
      </c>
      <c r="O144" s="11">
        <v>20</v>
      </c>
      <c r="P144" s="6" t="b">
        <f t="shared" si="27"/>
        <v>0</v>
      </c>
      <c r="Q144" s="12">
        <v>159620</v>
      </c>
      <c r="R144" s="1">
        <f t="shared" si="28"/>
        <v>0</v>
      </c>
      <c r="S144" s="1">
        <f t="shared" si="29"/>
        <v>0</v>
      </c>
      <c r="T144" s="1">
        <f t="shared" si="30"/>
        <v>0</v>
      </c>
      <c r="U144" s="1">
        <f t="shared" si="31"/>
        <v>0</v>
      </c>
    </row>
    <row r="145" spans="1:21" ht="20" customHeight="1" x14ac:dyDescent="0.15">
      <c r="A145" s="8">
        <v>307</v>
      </c>
      <c r="B145" s="9" t="s">
        <v>54</v>
      </c>
      <c r="C145" s="41">
        <f t="shared" si="25"/>
        <v>44255</v>
      </c>
      <c r="D145" s="10" t="s">
        <v>25</v>
      </c>
      <c r="E145" s="36" t="str">
        <f t="shared" si="22"/>
        <v>instagram_blogger</v>
      </c>
      <c r="F145" s="10" t="s">
        <v>20</v>
      </c>
      <c r="G145" s="11">
        <v>374754</v>
      </c>
      <c r="H145" s="11">
        <v>94058</v>
      </c>
      <c r="I145" s="13">
        <v>4845.6499999999996</v>
      </c>
      <c r="J145" s="40">
        <f t="shared" si="23"/>
        <v>6.3152522911395096E-3</v>
      </c>
      <c r="K145" s="11">
        <v>594</v>
      </c>
      <c r="L145" s="6" t="b">
        <f t="shared" si="24"/>
        <v>0</v>
      </c>
      <c r="M145" s="11">
        <v>12</v>
      </c>
      <c r="N145" s="6" t="b">
        <f t="shared" si="26"/>
        <v>0</v>
      </c>
      <c r="O145" s="11">
        <v>1</v>
      </c>
      <c r="P145" s="6" t="b">
        <f t="shared" si="27"/>
        <v>0</v>
      </c>
      <c r="Q145" s="12">
        <v>5008</v>
      </c>
      <c r="R145" s="1">
        <f t="shared" si="28"/>
        <v>0</v>
      </c>
      <c r="S145" s="1">
        <f t="shared" si="29"/>
        <v>0</v>
      </c>
      <c r="T145" s="1">
        <f t="shared" si="30"/>
        <v>0</v>
      </c>
      <c r="U145" s="1">
        <f t="shared" si="31"/>
        <v>0</v>
      </c>
    </row>
    <row r="146" spans="1:21" ht="20" customHeight="1" x14ac:dyDescent="0.15">
      <c r="A146" s="8">
        <v>61</v>
      </c>
      <c r="B146" s="9" t="s">
        <v>32</v>
      </c>
      <c r="C146" s="41">
        <f t="shared" si="25"/>
        <v>44233</v>
      </c>
      <c r="D146" s="10" t="s">
        <v>21</v>
      </c>
      <c r="E146" s="36" t="str">
        <f t="shared" si="22"/>
        <v>instagram_tier1</v>
      </c>
      <c r="F146" s="10" t="s">
        <v>14</v>
      </c>
      <c r="G146" s="11">
        <v>9034945</v>
      </c>
      <c r="H146" s="11">
        <v>425467</v>
      </c>
      <c r="I146" s="13">
        <v>3661.53</v>
      </c>
      <c r="J146" s="40">
        <f t="shared" si="23"/>
        <v>6.3342162846942301E-3</v>
      </c>
      <c r="K146" s="11">
        <v>2695</v>
      </c>
      <c r="L146" s="6" t="b">
        <f t="shared" si="24"/>
        <v>0</v>
      </c>
      <c r="M146" s="11">
        <v>14</v>
      </c>
      <c r="N146" s="6" t="b">
        <f t="shared" si="26"/>
        <v>0</v>
      </c>
      <c r="O146" s="11">
        <v>1</v>
      </c>
      <c r="P146" s="6" t="b">
        <f t="shared" si="27"/>
        <v>0</v>
      </c>
      <c r="Q146" s="12">
        <v>5958</v>
      </c>
      <c r="R146" s="1">
        <f t="shared" si="28"/>
        <v>0</v>
      </c>
      <c r="S146" s="1">
        <f t="shared" si="29"/>
        <v>0</v>
      </c>
      <c r="T146" s="1">
        <f t="shared" si="30"/>
        <v>0</v>
      </c>
      <c r="U146" s="1">
        <f t="shared" si="31"/>
        <v>0</v>
      </c>
    </row>
    <row r="147" spans="1:21" ht="20" customHeight="1" x14ac:dyDescent="0.15">
      <c r="A147" s="8">
        <v>293</v>
      </c>
      <c r="B147" s="9" t="s">
        <v>53</v>
      </c>
      <c r="C147" s="41">
        <f t="shared" si="25"/>
        <v>44254</v>
      </c>
      <c r="D147" s="10" t="s">
        <v>22</v>
      </c>
      <c r="E147" s="36" t="str">
        <f t="shared" si="22"/>
        <v>instagram_tier2</v>
      </c>
      <c r="F147" s="10" t="s">
        <v>14</v>
      </c>
      <c r="G147" s="11">
        <v>983498</v>
      </c>
      <c r="H147" s="11">
        <v>78799</v>
      </c>
      <c r="I147" s="13">
        <v>254.14</v>
      </c>
      <c r="J147" s="40">
        <f t="shared" si="23"/>
        <v>6.3833297376870261E-3</v>
      </c>
      <c r="K147" s="11">
        <v>503</v>
      </c>
      <c r="L147" s="6" t="b">
        <f t="shared" si="24"/>
        <v>0</v>
      </c>
      <c r="M147" s="11">
        <v>3</v>
      </c>
      <c r="N147" s="6" t="b">
        <f t="shared" si="26"/>
        <v>0</v>
      </c>
      <c r="O147" s="11">
        <v>0</v>
      </c>
      <c r="P147" s="6" t="b">
        <f t="shared" si="27"/>
        <v>0</v>
      </c>
      <c r="Q147" s="12">
        <v>0</v>
      </c>
      <c r="R147" s="1">
        <f t="shared" si="28"/>
        <v>0</v>
      </c>
      <c r="S147" s="1">
        <f t="shared" si="29"/>
        <v>0</v>
      </c>
      <c r="T147" s="1">
        <f t="shared" si="30"/>
        <v>0</v>
      </c>
      <c r="U147" s="1">
        <f t="shared" si="31"/>
        <v>0</v>
      </c>
    </row>
    <row r="148" spans="1:21" ht="20" customHeight="1" x14ac:dyDescent="0.15">
      <c r="A148" s="8">
        <v>125</v>
      </c>
      <c r="B148" s="9" t="s">
        <v>38</v>
      </c>
      <c r="C148" s="41">
        <f t="shared" si="25"/>
        <v>44239</v>
      </c>
      <c r="D148" s="10" t="s">
        <v>18</v>
      </c>
      <c r="E148" s="36" t="str">
        <f t="shared" si="22"/>
        <v>google_wide</v>
      </c>
      <c r="F148" s="10" t="s">
        <v>17</v>
      </c>
      <c r="G148" s="11">
        <v>127823</v>
      </c>
      <c r="H148" s="11">
        <v>1502383</v>
      </c>
      <c r="I148" s="12">
        <v>86733.1</v>
      </c>
      <c r="J148" s="40">
        <f t="shared" si="23"/>
        <v>6.3931767066054395E-3</v>
      </c>
      <c r="K148" s="11">
        <v>9605</v>
      </c>
      <c r="L148" s="6" t="b">
        <f t="shared" si="24"/>
        <v>0</v>
      </c>
      <c r="M148" s="11">
        <v>192</v>
      </c>
      <c r="N148" s="6" t="b">
        <f t="shared" si="26"/>
        <v>0</v>
      </c>
      <c r="O148" s="11">
        <v>19</v>
      </c>
      <c r="P148" s="6" t="b">
        <f t="shared" si="27"/>
        <v>0</v>
      </c>
      <c r="Q148" s="12">
        <v>56639</v>
      </c>
      <c r="R148" s="1">
        <f t="shared" si="28"/>
        <v>0</v>
      </c>
      <c r="S148" s="1">
        <f t="shared" si="29"/>
        <v>0</v>
      </c>
      <c r="T148" s="1">
        <f t="shared" si="30"/>
        <v>0</v>
      </c>
      <c r="U148" s="1">
        <f t="shared" si="31"/>
        <v>0</v>
      </c>
    </row>
    <row r="149" spans="1:21" ht="20" customHeight="1" x14ac:dyDescent="0.15">
      <c r="A149" s="8">
        <v>71</v>
      </c>
      <c r="B149" s="9" t="s">
        <v>33</v>
      </c>
      <c r="C149" s="41">
        <f t="shared" si="25"/>
        <v>44234</v>
      </c>
      <c r="D149" s="10" t="s">
        <v>19</v>
      </c>
      <c r="E149" s="36" t="str">
        <f t="shared" si="22"/>
        <v>youtube_blogger</v>
      </c>
      <c r="F149" s="10" t="s">
        <v>20</v>
      </c>
      <c r="G149" s="11">
        <v>10934</v>
      </c>
      <c r="H149" s="11">
        <v>694624</v>
      </c>
      <c r="I149" s="12">
        <v>31680.1</v>
      </c>
      <c r="J149" s="40">
        <f t="shared" si="23"/>
        <v>6.4855231031464506E-3</v>
      </c>
      <c r="K149" s="11">
        <v>4505</v>
      </c>
      <c r="L149" s="6" t="b">
        <f t="shared" si="24"/>
        <v>0</v>
      </c>
      <c r="M149" s="11">
        <v>82</v>
      </c>
      <c r="N149" s="6" t="b">
        <f t="shared" si="26"/>
        <v>0</v>
      </c>
      <c r="O149" s="11">
        <v>15</v>
      </c>
      <c r="P149" s="6" t="b">
        <f t="shared" si="27"/>
        <v>0</v>
      </c>
      <c r="Q149" s="12">
        <v>119715</v>
      </c>
      <c r="R149" s="1">
        <f t="shared" si="28"/>
        <v>0</v>
      </c>
      <c r="S149" s="1">
        <f t="shared" si="29"/>
        <v>0</v>
      </c>
      <c r="T149" s="1">
        <f t="shared" si="30"/>
        <v>0</v>
      </c>
      <c r="U149" s="1">
        <f t="shared" si="31"/>
        <v>0</v>
      </c>
    </row>
    <row r="150" spans="1:21" ht="20" customHeight="1" x14ac:dyDescent="0.15">
      <c r="A150" s="8">
        <v>227</v>
      </c>
      <c r="B150" s="9" t="s">
        <v>47</v>
      </c>
      <c r="C150" s="41">
        <f t="shared" si="25"/>
        <v>44248</v>
      </c>
      <c r="D150" s="10" t="s">
        <v>22</v>
      </c>
      <c r="E150" s="36" t="str">
        <f t="shared" si="22"/>
        <v>instagram_tier2</v>
      </c>
      <c r="F150" s="10" t="s">
        <v>14</v>
      </c>
      <c r="G150" s="11">
        <v>983498</v>
      </c>
      <c r="H150" s="11">
        <v>781353</v>
      </c>
      <c r="I150" s="12">
        <v>12503.5</v>
      </c>
      <c r="J150" s="40">
        <f t="shared" si="23"/>
        <v>6.5322587870015221E-3</v>
      </c>
      <c r="K150" s="11">
        <v>5104</v>
      </c>
      <c r="L150" s="6" t="b">
        <f t="shared" si="24"/>
        <v>0</v>
      </c>
      <c r="M150" s="11">
        <v>102</v>
      </c>
      <c r="N150" s="6" t="b">
        <f t="shared" si="26"/>
        <v>0</v>
      </c>
      <c r="O150" s="11">
        <v>4</v>
      </c>
      <c r="P150" s="6" t="b">
        <f t="shared" si="27"/>
        <v>0</v>
      </c>
      <c r="Q150" s="12">
        <v>7924</v>
      </c>
      <c r="R150" s="1">
        <f t="shared" si="28"/>
        <v>0</v>
      </c>
      <c r="S150" s="1">
        <f t="shared" si="29"/>
        <v>0</v>
      </c>
      <c r="T150" s="1">
        <f t="shared" si="30"/>
        <v>0</v>
      </c>
      <c r="U150" s="1">
        <f t="shared" si="31"/>
        <v>0</v>
      </c>
    </row>
    <row r="151" spans="1:21" ht="20" customHeight="1" x14ac:dyDescent="0.15">
      <c r="A151" s="8">
        <v>219</v>
      </c>
      <c r="B151" s="9" t="s">
        <v>46</v>
      </c>
      <c r="C151" s="41">
        <f t="shared" si="25"/>
        <v>44247</v>
      </c>
      <c r="D151" s="10" t="s">
        <v>25</v>
      </c>
      <c r="E151" s="36" t="str">
        <f t="shared" si="22"/>
        <v>instagram_blogger</v>
      </c>
      <c r="F151" s="10" t="s">
        <v>20</v>
      </c>
      <c r="G151" s="11">
        <v>374754</v>
      </c>
      <c r="H151" s="11">
        <v>5497354</v>
      </c>
      <c r="I151" s="12">
        <v>504576</v>
      </c>
      <c r="J151" s="40">
        <f t="shared" si="23"/>
        <v>6.5475135856268305E-3</v>
      </c>
      <c r="K151" s="11">
        <v>35994</v>
      </c>
      <c r="L151" s="6" t="b">
        <f t="shared" si="24"/>
        <v>0</v>
      </c>
      <c r="M151" s="11">
        <v>822</v>
      </c>
      <c r="N151" s="6" t="b">
        <f t="shared" si="26"/>
        <v>0</v>
      </c>
      <c r="O151" s="11">
        <v>137</v>
      </c>
      <c r="P151" s="6" t="b">
        <f t="shared" si="27"/>
        <v>0</v>
      </c>
      <c r="Q151" s="12">
        <v>682397</v>
      </c>
      <c r="R151" s="1">
        <f t="shared" si="28"/>
        <v>0</v>
      </c>
      <c r="S151" s="1">
        <f t="shared" si="29"/>
        <v>0</v>
      </c>
      <c r="T151" s="1">
        <f t="shared" si="30"/>
        <v>0</v>
      </c>
      <c r="U151" s="1">
        <f t="shared" si="31"/>
        <v>0</v>
      </c>
    </row>
    <row r="152" spans="1:21" ht="20" customHeight="1" x14ac:dyDescent="0.15">
      <c r="A152" s="8">
        <v>82</v>
      </c>
      <c r="B152" s="9" t="s">
        <v>34</v>
      </c>
      <c r="C152" s="41">
        <f t="shared" si="25"/>
        <v>44235</v>
      </c>
      <c r="D152" s="10" t="s">
        <v>19</v>
      </c>
      <c r="E152" s="36" t="str">
        <f t="shared" si="22"/>
        <v>youtube_blogger</v>
      </c>
      <c r="F152" s="10" t="s">
        <v>20</v>
      </c>
      <c r="G152" s="11">
        <v>10934</v>
      </c>
      <c r="H152" s="11">
        <v>685530</v>
      </c>
      <c r="I152" s="12">
        <v>33892.6</v>
      </c>
      <c r="J152" s="40">
        <f t="shared" si="23"/>
        <v>6.5511356176972558E-3</v>
      </c>
      <c r="K152" s="11">
        <v>4491</v>
      </c>
      <c r="L152" s="6" t="b">
        <f t="shared" si="24"/>
        <v>0</v>
      </c>
      <c r="M152" s="11">
        <v>79</v>
      </c>
      <c r="N152" s="6" t="b">
        <f t="shared" si="26"/>
        <v>0</v>
      </c>
      <c r="O152" s="11">
        <v>16</v>
      </c>
      <c r="P152" s="6" t="b">
        <f t="shared" si="27"/>
        <v>0</v>
      </c>
      <c r="Q152" s="12">
        <v>120176</v>
      </c>
      <c r="R152" s="1">
        <f t="shared" si="28"/>
        <v>0</v>
      </c>
      <c r="S152" s="1">
        <f t="shared" si="29"/>
        <v>0</v>
      </c>
      <c r="T152" s="1">
        <f t="shared" si="30"/>
        <v>0</v>
      </c>
      <c r="U152" s="1">
        <f t="shared" si="31"/>
        <v>0</v>
      </c>
    </row>
    <row r="153" spans="1:21" ht="20" customHeight="1" x14ac:dyDescent="0.15">
      <c r="A153" s="8">
        <v>156</v>
      </c>
      <c r="B153" s="9" t="s">
        <v>41</v>
      </c>
      <c r="C153" s="41">
        <f t="shared" si="25"/>
        <v>44242</v>
      </c>
      <c r="D153" s="10" t="s">
        <v>15</v>
      </c>
      <c r="E153" s="36" t="str">
        <f t="shared" si="22"/>
        <v>facebook_tier2</v>
      </c>
      <c r="F153" s="10" t="s">
        <v>14</v>
      </c>
      <c r="G153" s="11">
        <v>348934</v>
      </c>
      <c r="H153" s="11">
        <v>3441545</v>
      </c>
      <c r="I153" s="12">
        <v>593576</v>
      </c>
      <c r="J153" s="40">
        <f t="shared" si="23"/>
        <v>6.7129733884054984E-3</v>
      </c>
      <c r="K153" s="11">
        <v>23103</v>
      </c>
      <c r="L153" s="6" t="b">
        <f t="shared" si="24"/>
        <v>0</v>
      </c>
      <c r="M153" s="11">
        <v>694</v>
      </c>
      <c r="N153" s="6" t="b">
        <f t="shared" si="26"/>
        <v>0</v>
      </c>
      <c r="O153" s="11">
        <v>81</v>
      </c>
      <c r="P153" s="6" t="b">
        <f t="shared" si="27"/>
        <v>0</v>
      </c>
      <c r="Q153" s="12">
        <v>403461</v>
      </c>
      <c r="R153" s="1">
        <f t="shared" si="28"/>
        <v>0</v>
      </c>
      <c r="S153" s="1">
        <f t="shared" si="29"/>
        <v>0</v>
      </c>
      <c r="T153" s="1">
        <f t="shared" si="30"/>
        <v>0</v>
      </c>
      <c r="U153" s="1">
        <f t="shared" si="31"/>
        <v>0</v>
      </c>
    </row>
    <row r="154" spans="1:21" ht="20" customHeight="1" x14ac:dyDescent="0.15">
      <c r="A154" s="8">
        <v>40</v>
      </c>
      <c r="B154" s="9" t="s">
        <v>30</v>
      </c>
      <c r="C154" s="41">
        <f t="shared" si="25"/>
        <v>44231</v>
      </c>
      <c r="D154" s="10" t="s">
        <v>22</v>
      </c>
      <c r="E154" s="36" t="str">
        <f t="shared" si="22"/>
        <v>instagram_tier2</v>
      </c>
      <c r="F154" s="10" t="s">
        <v>14</v>
      </c>
      <c r="G154" s="11">
        <v>983498</v>
      </c>
      <c r="H154" s="11">
        <v>3008227</v>
      </c>
      <c r="I154" s="12">
        <v>40119.199999999997</v>
      </c>
      <c r="J154" s="40">
        <f t="shared" si="23"/>
        <v>6.7787437583666389E-3</v>
      </c>
      <c r="K154" s="11">
        <v>20392</v>
      </c>
      <c r="L154" s="6" t="b">
        <f t="shared" si="24"/>
        <v>0</v>
      </c>
      <c r="M154" s="11">
        <v>408</v>
      </c>
      <c r="N154" s="6" t="b">
        <f t="shared" si="26"/>
        <v>0</v>
      </c>
      <c r="O154" s="11">
        <v>12</v>
      </c>
      <c r="P154" s="6" t="b">
        <f t="shared" si="27"/>
        <v>0</v>
      </c>
      <c r="Q154" s="12">
        <v>23772</v>
      </c>
      <c r="R154" s="1">
        <f t="shared" si="28"/>
        <v>0</v>
      </c>
      <c r="S154" s="1">
        <f t="shared" si="29"/>
        <v>0</v>
      </c>
      <c r="T154" s="1">
        <f t="shared" si="30"/>
        <v>0</v>
      </c>
      <c r="U154" s="1">
        <f t="shared" si="31"/>
        <v>0</v>
      </c>
    </row>
    <row r="155" spans="1:21" ht="20" customHeight="1" x14ac:dyDescent="0.15">
      <c r="A155" s="8">
        <v>111</v>
      </c>
      <c r="B155" s="9" t="s">
        <v>37</v>
      </c>
      <c r="C155" s="41">
        <f t="shared" si="25"/>
        <v>44238</v>
      </c>
      <c r="D155" s="10" t="s">
        <v>13</v>
      </c>
      <c r="E155" s="36" t="str">
        <f t="shared" si="22"/>
        <v>facebook_tier1</v>
      </c>
      <c r="F155" s="10" t="s">
        <v>14</v>
      </c>
      <c r="G155" s="11">
        <v>349043</v>
      </c>
      <c r="H155" s="11">
        <v>1061233</v>
      </c>
      <c r="I155" s="12">
        <v>105681</v>
      </c>
      <c r="J155" s="40">
        <f t="shared" si="23"/>
        <v>6.7902147784699492E-3</v>
      </c>
      <c r="K155" s="11">
        <v>7206</v>
      </c>
      <c r="L155" s="6" t="b">
        <f t="shared" si="24"/>
        <v>0</v>
      </c>
      <c r="M155" s="11">
        <v>144</v>
      </c>
      <c r="N155" s="6" t="b">
        <f t="shared" si="26"/>
        <v>0</v>
      </c>
      <c r="O155" s="11">
        <v>23</v>
      </c>
      <c r="P155" s="6" t="b">
        <f t="shared" si="27"/>
        <v>0</v>
      </c>
      <c r="Q155" s="12">
        <v>105225</v>
      </c>
      <c r="R155" s="1">
        <f t="shared" si="28"/>
        <v>0</v>
      </c>
      <c r="S155" s="1">
        <f t="shared" si="29"/>
        <v>0</v>
      </c>
      <c r="T155" s="1">
        <f t="shared" si="30"/>
        <v>0</v>
      </c>
      <c r="U155" s="1">
        <f t="shared" si="31"/>
        <v>0</v>
      </c>
    </row>
    <row r="156" spans="1:21" ht="20" customHeight="1" x14ac:dyDescent="0.15">
      <c r="A156" s="8">
        <v>75</v>
      </c>
      <c r="B156" s="9" t="s">
        <v>33</v>
      </c>
      <c r="C156" s="41">
        <f t="shared" si="25"/>
        <v>44234</v>
      </c>
      <c r="D156" s="10" t="s">
        <v>24</v>
      </c>
      <c r="E156" s="36" t="str">
        <f t="shared" si="22"/>
        <v>facebook_lal</v>
      </c>
      <c r="F156" s="10" t="s">
        <v>14</v>
      </c>
      <c r="G156" s="11">
        <v>544756</v>
      </c>
      <c r="H156" s="11">
        <v>174221</v>
      </c>
      <c r="I156" s="12">
        <v>10104.9</v>
      </c>
      <c r="J156" s="40">
        <f t="shared" si="23"/>
        <v>6.8705839135351074E-3</v>
      </c>
      <c r="K156" s="11">
        <v>1197</v>
      </c>
      <c r="L156" s="6" t="b">
        <f t="shared" si="24"/>
        <v>0</v>
      </c>
      <c r="M156" s="11">
        <v>6</v>
      </c>
      <c r="N156" s="6" t="b">
        <f t="shared" si="26"/>
        <v>0</v>
      </c>
      <c r="O156" s="11">
        <v>1</v>
      </c>
      <c r="P156" s="6" t="b">
        <f t="shared" si="27"/>
        <v>0</v>
      </c>
      <c r="Q156" s="12">
        <v>981</v>
      </c>
      <c r="R156" s="1">
        <f t="shared" si="28"/>
        <v>0</v>
      </c>
      <c r="S156" s="1">
        <f t="shared" si="29"/>
        <v>0</v>
      </c>
      <c r="T156" s="1">
        <f t="shared" si="30"/>
        <v>0</v>
      </c>
      <c r="U156" s="1">
        <f t="shared" si="31"/>
        <v>0</v>
      </c>
    </row>
    <row r="157" spans="1:21" ht="20" customHeight="1" x14ac:dyDescent="0.15">
      <c r="A157" s="8">
        <v>79</v>
      </c>
      <c r="B157" s="9" t="s">
        <v>34</v>
      </c>
      <c r="C157" s="41">
        <f t="shared" si="25"/>
        <v>44235</v>
      </c>
      <c r="D157" s="10" t="s">
        <v>15</v>
      </c>
      <c r="E157" s="36" t="str">
        <f t="shared" si="22"/>
        <v>facebook_tier2</v>
      </c>
      <c r="F157" s="10" t="s">
        <v>14</v>
      </c>
      <c r="G157" s="11">
        <v>348934</v>
      </c>
      <c r="H157" s="11">
        <v>472656</v>
      </c>
      <c r="I157" s="12">
        <v>33752.800000000003</v>
      </c>
      <c r="J157" s="40">
        <f t="shared" si="23"/>
        <v>6.9606648386987572E-3</v>
      </c>
      <c r="K157" s="11">
        <v>3290</v>
      </c>
      <c r="L157" s="6" t="b">
        <f t="shared" si="24"/>
        <v>0</v>
      </c>
      <c r="M157" s="11">
        <v>66</v>
      </c>
      <c r="N157" s="6" t="b">
        <f t="shared" si="26"/>
        <v>0</v>
      </c>
      <c r="O157" s="11">
        <v>5</v>
      </c>
      <c r="P157" s="6" t="b">
        <f t="shared" si="27"/>
        <v>0</v>
      </c>
      <c r="Q157" s="12">
        <v>28670</v>
      </c>
      <c r="R157" s="1">
        <f t="shared" si="28"/>
        <v>0</v>
      </c>
      <c r="S157" s="1">
        <f t="shared" si="29"/>
        <v>0</v>
      </c>
      <c r="T157" s="1">
        <f t="shared" si="30"/>
        <v>0</v>
      </c>
      <c r="U157" s="1">
        <f t="shared" si="31"/>
        <v>0</v>
      </c>
    </row>
    <row r="158" spans="1:21" ht="20" customHeight="1" x14ac:dyDescent="0.15">
      <c r="A158" s="8">
        <v>54</v>
      </c>
      <c r="B158" s="9" t="s">
        <v>31</v>
      </c>
      <c r="C158" s="41">
        <f t="shared" si="25"/>
        <v>44232</v>
      </c>
      <c r="D158" s="10" t="s">
        <v>25</v>
      </c>
      <c r="E158" s="36" t="str">
        <f t="shared" si="22"/>
        <v>instagram_blogger</v>
      </c>
      <c r="F158" s="10" t="s">
        <v>20</v>
      </c>
      <c r="G158" s="11">
        <v>374754</v>
      </c>
      <c r="H158" s="11">
        <v>2153303</v>
      </c>
      <c r="I158" s="12">
        <v>36431.699999999997</v>
      </c>
      <c r="J158" s="40">
        <f t="shared" si="23"/>
        <v>6.967435609387067E-3</v>
      </c>
      <c r="K158" s="11">
        <v>15003</v>
      </c>
      <c r="L158" s="6" t="b">
        <f t="shared" si="24"/>
        <v>0</v>
      </c>
      <c r="M158" s="11">
        <v>51</v>
      </c>
      <c r="N158" s="6" t="b">
        <f t="shared" si="26"/>
        <v>0</v>
      </c>
      <c r="O158" s="11">
        <v>8</v>
      </c>
      <c r="P158" s="6" t="b">
        <f t="shared" si="27"/>
        <v>0</v>
      </c>
      <c r="Q158" s="12">
        <v>47816</v>
      </c>
      <c r="R158" s="1">
        <f t="shared" si="28"/>
        <v>0</v>
      </c>
      <c r="S158" s="1">
        <f t="shared" si="29"/>
        <v>0</v>
      </c>
      <c r="T158" s="1">
        <f t="shared" si="30"/>
        <v>0</v>
      </c>
      <c r="U158" s="1">
        <f t="shared" si="31"/>
        <v>0</v>
      </c>
    </row>
    <row r="159" spans="1:21" ht="20" customHeight="1" x14ac:dyDescent="0.15">
      <c r="A159" s="8">
        <v>134</v>
      </c>
      <c r="B159" s="9" t="s">
        <v>39</v>
      </c>
      <c r="C159" s="41">
        <f t="shared" si="25"/>
        <v>44240</v>
      </c>
      <c r="D159" s="10" t="s">
        <v>15</v>
      </c>
      <c r="E159" s="36" t="str">
        <f t="shared" si="22"/>
        <v>facebook_tier2</v>
      </c>
      <c r="F159" s="10" t="s">
        <v>14</v>
      </c>
      <c r="G159" s="11">
        <v>348934</v>
      </c>
      <c r="H159" s="11">
        <v>2358224</v>
      </c>
      <c r="I159" s="12">
        <v>325444</v>
      </c>
      <c r="J159" s="40">
        <f t="shared" si="23"/>
        <v>6.9993350928495342E-3</v>
      </c>
      <c r="K159" s="11">
        <v>16506</v>
      </c>
      <c r="L159" s="6" t="b">
        <f t="shared" si="24"/>
        <v>0</v>
      </c>
      <c r="M159" s="11">
        <v>655</v>
      </c>
      <c r="N159" s="6" t="b">
        <f t="shared" si="26"/>
        <v>0</v>
      </c>
      <c r="O159" s="11">
        <v>52</v>
      </c>
      <c r="P159" s="6" t="b">
        <f t="shared" si="27"/>
        <v>0</v>
      </c>
      <c r="Q159" s="12">
        <v>262184</v>
      </c>
      <c r="R159" s="1">
        <f t="shared" si="28"/>
        <v>0</v>
      </c>
      <c r="S159" s="1">
        <f t="shared" si="29"/>
        <v>0</v>
      </c>
      <c r="T159" s="1">
        <f t="shared" si="30"/>
        <v>0</v>
      </c>
      <c r="U159" s="1">
        <f t="shared" si="31"/>
        <v>0</v>
      </c>
    </row>
    <row r="160" spans="1:21" ht="20" customHeight="1" x14ac:dyDescent="0.15">
      <c r="A160" s="8">
        <v>302</v>
      </c>
      <c r="B160" s="9" t="s">
        <v>54</v>
      </c>
      <c r="C160" s="41">
        <f t="shared" si="25"/>
        <v>44255</v>
      </c>
      <c r="D160" s="10" t="s">
        <v>19</v>
      </c>
      <c r="E160" s="36" t="str">
        <f t="shared" si="22"/>
        <v>youtube_blogger</v>
      </c>
      <c r="F160" s="10" t="s">
        <v>20</v>
      </c>
      <c r="G160" s="11">
        <v>10934</v>
      </c>
      <c r="H160" s="11">
        <v>129025</v>
      </c>
      <c r="I160" s="13">
        <v>9892.77</v>
      </c>
      <c r="J160" s="40">
        <f t="shared" si="23"/>
        <v>7.0451462894787834E-3</v>
      </c>
      <c r="K160" s="11">
        <v>909</v>
      </c>
      <c r="L160" s="6" t="b">
        <f t="shared" si="24"/>
        <v>0</v>
      </c>
      <c r="M160" s="11">
        <v>21</v>
      </c>
      <c r="N160" s="6" t="b">
        <f t="shared" si="26"/>
        <v>0</v>
      </c>
      <c r="O160" s="11">
        <v>5</v>
      </c>
      <c r="P160" s="6" t="b">
        <f t="shared" si="27"/>
        <v>0</v>
      </c>
      <c r="Q160" s="12">
        <v>37450</v>
      </c>
      <c r="R160" s="1">
        <f t="shared" si="28"/>
        <v>0</v>
      </c>
      <c r="S160" s="1">
        <f t="shared" si="29"/>
        <v>0</v>
      </c>
      <c r="T160" s="1">
        <f t="shared" si="30"/>
        <v>0</v>
      </c>
      <c r="U160" s="1">
        <f t="shared" si="31"/>
        <v>0</v>
      </c>
    </row>
    <row r="161" spans="1:21" ht="20" customHeight="1" x14ac:dyDescent="0.15">
      <c r="A161" s="8">
        <v>189</v>
      </c>
      <c r="B161" s="9" t="s">
        <v>44</v>
      </c>
      <c r="C161" s="41">
        <f t="shared" si="25"/>
        <v>44245</v>
      </c>
      <c r="D161" s="10" t="s">
        <v>15</v>
      </c>
      <c r="E161" s="36" t="str">
        <f t="shared" si="22"/>
        <v>facebook_tier2</v>
      </c>
      <c r="F161" s="10" t="s">
        <v>14</v>
      </c>
      <c r="G161" s="11">
        <v>348934</v>
      </c>
      <c r="H161" s="11">
        <v>4678356</v>
      </c>
      <c r="I161" s="12">
        <v>373294</v>
      </c>
      <c r="J161" s="40">
        <f t="shared" si="23"/>
        <v>7.0544011614336322E-3</v>
      </c>
      <c r="K161" s="11">
        <v>33003</v>
      </c>
      <c r="L161" s="6" t="b">
        <f t="shared" si="24"/>
        <v>0</v>
      </c>
      <c r="M161" s="11">
        <v>1313</v>
      </c>
      <c r="N161" s="6" t="b">
        <f t="shared" si="26"/>
        <v>0</v>
      </c>
      <c r="O161" s="11">
        <v>51</v>
      </c>
      <c r="P161" s="6" t="b">
        <f t="shared" si="27"/>
        <v>0</v>
      </c>
      <c r="Q161" s="12">
        <v>237711</v>
      </c>
      <c r="R161" s="1">
        <f t="shared" si="28"/>
        <v>0</v>
      </c>
      <c r="S161" s="1">
        <f t="shared" si="29"/>
        <v>0</v>
      </c>
      <c r="T161" s="1">
        <f t="shared" si="30"/>
        <v>0</v>
      </c>
      <c r="U161" s="1">
        <f t="shared" si="31"/>
        <v>0</v>
      </c>
    </row>
    <row r="162" spans="1:21" ht="20" customHeight="1" x14ac:dyDescent="0.15">
      <c r="A162" s="8">
        <v>276</v>
      </c>
      <c r="B162" s="9" t="s">
        <v>52</v>
      </c>
      <c r="C162" s="41">
        <f t="shared" si="25"/>
        <v>44253</v>
      </c>
      <c r="D162" s="10" t="s">
        <v>13</v>
      </c>
      <c r="E162" s="36" t="str">
        <f t="shared" si="22"/>
        <v>facebook_tier1</v>
      </c>
      <c r="F162" s="10" t="s">
        <v>14</v>
      </c>
      <c r="G162" s="11">
        <v>349043</v>
      </c>
      <c r="H162" s="11">
        <v>168408</v>
      </c>
      <c r="I162" s="12">
        <v>19887.7</v>
      </c>
      <c r="J162" s="40">
        <f t="shared" si="23"/>
        <v>7.1671179516412525E-3</v>
      </c>
      <c r="K162" s="11">
        <v>1207</v>
      </c>
      <c r="L162" s="6" t="b">
        <f t="shared" si="24"/>
        <v>0</v>
      </c>
      <c r="M162" s="11">
        <v>39</v>
      </c>
      <c r="N162" s="6" t="b">
        <f t="shared" si="26"/>
        <v>0</v>
      </c>
      <c r="O162" s="11">
        <v>4</v>
      </c>
      <c r="P162" s="6" t="b">
        <f t="shared" si="27"/>
        <v>0</v>
      </c>
      <c r="Q162" s="12">
        <v>22488</v>
      </c>
      <c r="R162" s="1">
        <f t="shared" si="28"/>
        <v>0</v>
      </c>
      <c r="S162" s="1">
        <f t="shared" si="29"/>
        <v>0</v>
      </c>
      <c r="T162" s="1">
        <f t="shared" si="30"/>
        <v>0</v>
      </c>
      <c r="U162" s="1">
        <f t="shared" si="31"/>
        <v>0</v>
      </c>
    </row>
    <row r="163" spans="1:21" ht="20" customHeight="1" x14ac:dyDescent="0.15">
      <c r="A163" s="8">
        <v>57</v>
      </c>
      <c r="B163" s="9" t="s">
        <v>32</v>
      </c>
      <c r="C163" s="41">
        <f t="shared" si="25"/>
        <v>44233</v>
      </c>
      <c r="D163" s="10" t="s">
        <v>15</v>
      </c>
      <c r="E163" s="36" t="str">
        <f t="shared" si="22"/>
        <v>facebook_tier2</v>
      </c>
      <c r="F163" s="10" t="s">
        <v>14</v>
      </c>
      <c r="G163" s="11">
        <v>348934</v>
      </c>
      <c r="H163" s="11">
        <v>448321</v>
      </c>
      <c r="I163" s="12">
        <v>62272.6</v>
      </c>
      <c r="J163" s="40">
        <f t="shared" si="23"/>
        <v>7.3652583751374571E-3</v>
      </c>
      <c r="K163" s="11">
        <v>3302</v>
      </c>
      <c r="L163" s="6" t="b">
        <f t="shared" si="24"/>
        <v>0</v>
      </c>
      <c r="M163" s="11">
        <v>108</v>
      </c>
      <c r="N163" s="6" t="b">
        <f t="shared" si="26"/>
        <v>0</v>
      </c>
      <c r="O163" s="11">
        <v>9</v>
      </c>
      <c r="P163" s="6" t="b">
        <f t="shared" si="27"/>
        <v>0</v>
      </c>
      <c r="Q163" s="12">
        <v>44829</v>
      </c>
      <c r="R163" s="1">
        <f t="shared" si="28"/>
        <v>0</v>
      </c>
      <c r="S163" s="1">
        <f t="shared" si="29"/>
        <v>0</v>
      </c>
      <c r="T163" s="1">
        <f t="shared" si="30"/>
        <v>0</v>
      </c>
      <c r="U163" s="1">
        <f t="shared" si="31"/>
        <v>0</v>
      </c>
    </row>
    <row r="164" spans="1:21" ht="20" customHeight="1" x14ac:dyDescent="0.15">
      <c r="A164" s="8">
        <v>153</v>
      </c>
      <c r="B164" s="9" t="s">
        <v>40</v>
      </c>
      <c r="C164" s="41">
        <f t="shared" si="25"/>
        <v>44241</v>
      </c>
      <c r="D164" s="10" t="s">
        <v>25</v>
      </c>
      <c r="E164" s="36" t="str">
        <f t="shared" si="22"/>
        <v>instagram_blogger</v>
      </c>
      <c r="F164" s="10" t="s">
        <v>20</v>
      </c>
      <c r="G164" s="11">
        <v>374754</v>
      </c>
      <c r="H164" s="11">
        <v>2429465</v>
      </c>
      <c r="I164" s="12">
        <v>205870</v>
      </c>
      <c r="J164" s="40">
        <f t="shared" si="23"/>
        <v>7.4082153889848176E-3</v>
      </c>
      <c r="K164" s="11">
        <v>17998</v>
      </c>
      <c r="L164" s="6" t="b">
        <f t="shared" si="24"/>
        <v>0</v>
      </c>
      <c r="M164" s="11">
        <v>354</v>
      </c>
      <c r="N164" s="6" t="b">
        <f t="shared" si="26"/>
        <v>0</v>
      </c>
      <c r="O164" s="11">
        <v>53</v>
      </c>
      <c r="P164" s="6" t="b">
        <f t="shared" ref="P164:P180" si="32">(O163)&gt;(M163)</f>
        <v>0</v>
      </c>
      <c r="Q164" s="12">
        <v>306817</v>
      </c>
      <c r="R164" s="1">
        <f t="shared" si="28"/>
        <v>0</v>
      </c>
      <c r="S164" s="1">
        <f t="shared" si="29"/>
        <v>0</v>
      </c>
      <c r="T164" s="1">
        <f t="shared" si="30"/>
        <v>0</v>
      </c>
      <c r="U164" s="1">
        <f t="shared" si="31"/>
        <v>0</v>
      </c>
    </row>
    <row r="165" spans="1:21" ht="20" customHeight="1" x14ac:dyDescent="0.15">
      <c r="A165" s="8">
        <v>2</v>
      </c>
      <c r="B165" s="9" t="s">
        <v>12</v>
      </c>
      <c r="C165" s="41">
        <f t="shared" si="25"/>
        <v>44228</v>
      </c>
      <c r="D165" s="10" t="s">
        <v>15</v>
      </c>
      <c r="E165" s="36" t="str">
        <f t="shared" si="22"/>
        <v>facebook_tier2</v>
      </c>
      <c r="F165" s="10" t="s">
        <v>14</v>
      </c>
      <c r="G165" s="11">
        <v>348934</v>
      </c>
      <c r="H165" s="11">
        <v>220688</v>
      </c>
      <c r="I165" s="12">
        <v>16300.2</v>
      </c>
      <c r="J165" s="40">
        <f t="shared" si="23"/>
        <v>7.4313057347930112E-3</v>
      </c>
      <c r="K165" s="11">
        <v>1640</v>
      </c>
      <c r="L165" s="6" t="b">
        <f t="shared" si="24"/>
        <v>0</v>
      </c>
      <c r="M165" s="11">
        <v>48</v>
      </c>
      <c r="N165" s="6" t="b">
        <f t="shared" si="26"/>
        <v>0</v>
      </c>
      <c r="O165" s="11">
        <v>3</v>
      </c>
      <c r="P165" s="6" t="b">
        <f t="shared" si="32"/>
        <v>0</v>
      </c>
      <c r="Q165" s="12">
        <v>14962</v>
      </c>
      <c r="R165" s="1">
        <f t="shared" si="28"/>
        <v>0</v>
      </c>
      <c r="S165" s="1">
        <f t="shared" si="29"/>
        <v>0</v>
      </c>
      <c r="T165" s="1">
        <f t="shared" si="30"/>
        <v>0</v>
      </c>
      <c r="U165" s="1">
        <f t="shared" si="31"/>
        <v>0</v>
      </c>
    </row>
    <row r="166" spans="1:21" ht="20" customHeight="1" x14ac:dyDescent="0.15">
      <c r="A166" s="8">
        <v>108</v>
      </c>
      <c r="B166" s="9" t="s">
        <v>36</v>
      </c>
      <c r="C166" s="41">
        <f t="shared" si="25"/>
        <v>44237</v>
      </c>
      <c r="D166" s="10" t="s">
        <v>24</v>
      </c>
      <c r="E166" s="36" t="str">
        <f t="shared" si="22"/>
        <v>facebook_lal</v>
      </c>
      <c r="F166" s="10" t="s">
        <v>14</v>
      </c>
      <c r="G166" s="11">
        <v>544756</v>
      </c>
      <c r="H166" s="11">
        <v>321713</v>
      </c>
      <c r="I166" s="12">
        <v>131236</v>
      </c>
      <c r="J166" s="40">
        <f t="shared" si="23"/>
        <v>7.4476318955093513E-3</v>
      </c>
      <c r="K166" s="11">
        <v>2396</v>
      </c>
      <c r="L166" s="6" t="b">
        <f t="shared" si="24"/>
        <v>0</v>
      </c>
      <c r="M166" s="11">
        <v>88</v>
      </c>
      <c r="N166" s="6" t="b">
        <f t="shared" si="26"/>
        <v>0</v>
      </c>
      <c r="O166" s="11">
        <v>15</v>
      </c>
      <c r="P166" s="6" t="b">
        <f t="shared" si="32"/>
        <v>0</v>
      </c>
      <c r="Q166" s="12">
        <v>14715</v>
      </c>
      <c r="R166" s="1">
        <f t="shared" si="28"/>
        <v>0</v>
      </c>
      <c r="S166" s="1">
        <f t="shared" si="29"/>
        <v>0</v>
      </c>
      <c r="T166" s="1">
        <f t="shared" si="30"/>
        <v>0</v>
      </c>
      <c r="U166" s="1">
        <f t="shared" si="31"/>
        <v>0</v>
      </c>
    </row>
    <row r="167" spans="1:21" ht="20" customHeight="1" x14ac:dyDescent="0.15">
      <c r="A167" s="8">
        <v>247</v>
      </c>
      <c r="B167" s="9" t="s">
        <v>49</v>
      </c>
      <c r="C167" s="41">
        <f t="shared" si="25"/>
        <v>44250</v>
      </c>
      <c r="D167" s="10" t="s">
        <v>19</v>
      </c>
      <c r="E167" s="36" t="str">
        <f t="shared" si="22"/>
        <v>youtube_blogger</v>
      </c>
      <c r="F167" s="10" t="s">
        <v>20</v>
      </c>
      <c r="G167" s="11">
        <v>10934</v>
      </c>
      <c r="H167" s="11">
        <v>297609</v>
      </c>
      <c r="I167" s="12">
        <v>16343</v>
      </c>
      <c r="J167" s="40">
        <f t="shared" si="23"/>
        <v>7.5468147804669886E-3</v>
      </c>
      <c r="K167" s="11">
        <v>2246</v>
      </c>
      <c r="L167" s="6" t="b">
        <f t="shared" si="24"/>
        <v>0</v>
      </c>
      <c r="M167" s="11">
        <v>45</v>
      </c>
      <c r="N167" s="6" t="b">
        <f t="shared" si="26"/>
        <v>0</v>
      </c>
      <c r="O167" s="11">
        <v>8</v>
      </c>
      <c r="P167" s="6" t="b">
        <f t="shared" si="32"/>
        <v>0</v>
      </c>
      <c r="Q167" s="12">
        <v>63848</v>
      </c>
      <c r="R167" s="1">
        <f t="shared" si="28"/>
        <v>0</v>
      </c>
      <c r="S167" s="1">
        <f t="shared" si="29"/>
        <v>0</v>
      </c>
      <c r="T167" s="1">
        <f t="shared" si="30"/>
        <v>0</v>
      </c>
      <c r="U167" s="1">
        <f t="shared" si="31"/>
        <v>0</v>
      </c>
    </row>
    <row r="168" spans="1:21" ht="20" customHeight="1" x14ac:dyDescent="0.15">
      <c r="A168" s="8">
        <v>15</v>
      </c>
      <c r="B168" s="9" t="s">
        <v>28</v>
      </c>
      <c r="C168" s="41">
        <f t="shared" si="25"/>
        <v>44229</v>
      </c>
      <c r="D168" s="10" t="s">
        <v>18</v>
      </c>
      <c r="E168" s="36" t="str">
        <f t="shared" si="22"/>
        <v>google_wide</v>
      </c>
      <c r="F168" s="10" t="s">
        <v>17</v>
      </c>
      <c r="G168" s="11">
        <v>127823</v>
      </c>
      <c r="H168" s="11">
        <v>314704</v>
      </c>
      <c r="I168" s="12">
        <v>15153.6</v>
      </c>
      <c r="J168" s="40">
        <f t="shared" si="23"/>
        <v>7.6103258935380546E-3</v>
      </c>
      <c r="K168" s="11">
        <v>2395</v>
      </c>
      <c r="L168" s="6" t="b">
        <f t="shared" si="24"/>
        <v>0</v>
      </c>
      <c r="M168" s="11">
        <v>39</v>
      </c>
      <c r="N168" s="6" t="b">
        <f t="shared" si="26"/>
        <v>0</v>
      </c>
      <c r="O168" s="11">
        <v>4</v>
      </c>
      <c r="P168" s="6" t="b">
        <f t="shared" si="32"/>
        <v>0</v>
      </c>
      <c r="Q168" s="12">
        <v>12540</v>
      </c>
      <c r="R168" s="1">
        <f t="shared" si="28"/>
        <v>0</v>
      </c>
      <c r="S168" s="1">
        <f t="shared" si="29"/>
        <v>0</v>
      </c>
      <c r="T168" s="1">
        <f t="shared" si="30"/>
        <v>0</v>
      </c>
      <c r="U168" s="1">
        <f t="shared" si="31"/>
        <v>0</v>
      </c>
    </row>
    <row r="169" spans="1:21" ht="20" customHeight="1" x14ac:dyDescent="0.15">
      <c r="A169" s="8">
        <v>163</v>
      </c>
      <c r="B169" s="9" t="s">
        <v>41</v>
      </c>
      <c r="C169" s="41">
        <f t="shared" si="25"/>
        <v>44242</v>
      </c>
      <c r="D169" s="10" t="s">
        <v>24</v>
      </c>
      <c r="E169" s="36" t="str">
        <f t="shared" si="22"/>
        <v>facebook_lal</v>
      </c>
      <c r="F169" s="10" t="s">
        <v>14</v>
      </c>
      <c r="G169" s="11">
        <v>544756</v>
      </c>
      <c r="H169" s="11">
        <v>1093435</v>
      </c>
      <c r="I169" s="13">
        <v>6587.76</v>
      </c>
      <c r="J169" s="40">
        <f t="shared" si="23"/>
        <v>7.6840415754022874E-3</v>
      </c>
      <c r="K169" s="11">
        <v>8402</v>
      </c>
      <c r="L169" s="6" t="b">
        <f t="shared" si="24"/>
        <v>0</v>
      </c>
      <c r="M169" s="11">
        <v>4</v>
      </c>
      <c r="N169" s="6" t="b">
        <f t="shared" si="26"/>
        <v>0</v>
      </c>
      <c r="O169" s="11">
        <v>1</v>
      </c>
      <c r="P169" s="6" t="b">
        <f t="shared" si="32"/>
        <v>0</v>
      </c>
      <c r="Q169" s="12">
        <v>741</v>
      </c>
      <c r="R169" s="1">
        <f t="shared" si="28"/>
        <v>0</v>
      </c>
      <c r="S169" s="1">
        <f t="shared" si="29"/>
        <v>0</v>
      </c>
      <c r="T169" s="1">
        <f t="shared" si="30"/>
        <v>0</v>
      </c>
      <c r="U169" s="1">
        <f t="shared" si="31"/>
        <v>0</v>
      </c>
    </row>
    <row r="170" spans="1:21" ht="20" customHeight="1" x14ac:dyDescent="0.15">
      <c r="A170" s="8">
        <v>281</v>
      </c>
      <c r="B170" s="9" t="s">
        <v>52</v>
      </c>
      <c r="C170" s="41">
        <f t="shared" si="25"/>
        <v>44253</v>
      </c>
      <c r="D170" s="10" t="s">
        <v>21</v>
      </c>
      <c r="E170" s="36" t="str">
        <f t="shared" si="22"/>
        <v>instagram_tier1</v>
      </c>
      <c r="F170" s="10" t="s">
        <v>14</v>
      </c>
      <c r="G170" s="11">
        <v>9034945</v>
      </c>
      <c r="H170" s="11">
        <v>174375</v>
      </c>
      <c r="I170" s="12">
        <v>12592.4</v>
      </c>
      <c r="J170" s="40">
        <f t="shared" si="23"/>
        <v>7.6960573476702512E-3</v>
      </c>
      <c r="K170" s="11">
        <v>1342</v>
      </c>
      <c r="L170" s="6" t="b">
        <f t="shared" si="24"/>
        <v>0</v>
      </c>
      <c r="M170" s="11">
        <v>27</v>
      </c>
      <c r="N170" s="6" t="b">
        <f t="shared" si="26"/>
        <v>0</v>
      </c>
      <c r="O170" s="11">
        <v>4</v>
      </c>
      <c r="P170" s="6" t="b">
        <f t="shared" si="32"/>
        <v>0</v>
      </c>
      <c r="Q170" s="12">
        <v>26556</v>
      </c>
      <c r="R170" s="1">
        <f t="shared" si="28"/>
        <v>0</v>
      </c>
      <c r="S170" s="1">
        <f t="shared" si="29"/>
        <v>0</v>
      </c>
      <c r="T170" s="1">
        <f t="shared" si="30"/>
        <v>0</v>
      </c>
      <c r="U170" s="1">
        <f t="shared" si="31"/>
        <v>0</v>
      </c>
    </row>
    <row r="171" spans="1:21" ht="20" customHeight="1" x14ac:dyDescent="0.15">
      <c r="A171" s="8">
        <v>56</v>
      </c>
      <c r="B171" s="9" t="s">
        <v>32</v>
      </c>
      <c r="C171" s="41">
        <f t="shared" si="25"/>
        <v>44233</v>
      </c>
      <c r="D171" s="10" t="s">
        <v>13</v>
      </c>
      <c r="E171" s="36" t="str">
        <f t="shared" si="22"/>
        <v>facebook_tier1</v>
      </c>
      <c r="F171" s="10" t="s">
        <v>14</v>
      </c>
      <c r="G171" s="11">
        <v>349043</v>
      </c>
      <c r="H171" s="11">
        <v>310024</v>
      </c>
      <c r="I171" s="12">
        <v>40407.9</v>
      </c>
      <c r="J171" s="40">
        <f t="shared" si="23"/>
        <v>7.7123061440404614E-3</v>
      </c>
      <c r="K171" s="11">
        <v>2391</v>
      </c>
      <c r="L171" s="6" t="b">
        <f t="shared" si="24"/>
        <v>0</v>
      </c>
      <c r="M171" s="11">
        <v>76</v>
      </c>
      <c r="N171" s="6" t="b">
        <f t="shared" si="26"/>
        <v>0</v>
      </c>
      <c r="O171" s="11">
        <v>9</v>
      </c>
      <c r="P171" s="6" t="b">
        <f t="shared" si="32"/>
        <v>0</v>
      </c>
      <c r="Q171" s="12">
        <v>46152</v>
      </c>
      <c r="R171" s="1">
        <f t="shared" si="28"/>
        <v>0</v>
      </c>
      <c r="S171" s="1">
        <f t="shared" si="29"/>
        <v>0</v>
      </c>
      <c r="T171" s="1">
        <f t="shared" si="30"/>
        <v>0</v>
      </c>
      <c r="U171" s="1">
        <f t="shared" si="31"/>
        <v>0</v>
      </c>
    </row>
    <row r="172" spans="1:21" ht="20" customHeight="1" x14ac:dyDescent="0.15">
      <c r="A172" s="8">
        <v>101</v>
      </c>
      <c r="B172" s="9" t="s">
        <v>36</v>
      </c>
      <c r="C172" s="41">
        <f t="shared" si="25"/>
        <v>44237</v>
      </c>
      <c r="D172" s="10" t="s">
        <v>15</v>
      </c>
      <c r="E172" s="36" t="str">
        <f t="shared" si="22"/>
        <v>facebook_tier2</v>
      </c>
      <c r="F172" s="10" t="s">
        <v>14</v>
      </c>
      <c r="G172" s="11">
        <v>348934</v>
      </c>
      <c r="H172" s="11">
        <v>852250</v>
      </c>
      <c r="I172" s="12">
        <v>43865.9</v>
      </c>
      <c r="J172" s="40">
        <f t="shared" si="23"/>
        <v>7.7395130536814316E-3</v>
      </c>
      <c r="K172" s="11">
        <v>6596</v>
      </c>
      <c r="L172" s="6" t="b">
        <f t="shared" si="24"/>
        <v>0</v>
      </c>
      <c r="M172" s="11">
        <v>132</v>
      </c>
      <c r="N172" s="6" t="b">
        <f t="shared" si="26"/>
        <v>0</v>
      </c>
      <c r="O172" s="11">
        <v>7</v>
      </c>
      <c r="P172" s="6" t="b">
        <f t="shared" si="32"/>
        <v>0</v>
      </c>
      <c r="Q172" s="12">
        <v>34867</v>
      </c>
      <c r="R172" s="1">
        <f t="shared" si="28"/>
        <v>0</v>
      </c>
      <c r="S172" s="1">
        <f t="shared" si="29"/>
        <v>0</v>
      </c>
      <c r="T172" s="1">
        <f t="shared" si="30"/>
        <v>0</v>
      </c>
      <c r="U172" s="1">
        <f t="shared" si="31"/>
        <v>0</v>
      </c>
    </row>
    <row r="173" spans="1:21" ht="20" customHeight="1" x14ac:dyDescent="0.15">
      <c r="A173" s="8">
        <v>285</v>
      </c>
      <c r="B173" s="9" t="s">
        <v>52</v>
      </c>
      <c r="C173" s="41">
        <f t="shared" si="25"/>
        <v>44253</v>
      </c>
      <c r="D173" s="10" t="s">
        <v>25</v>
      </c>
      <c r="E173" s="36" t="str">
        <f t="shared" si="22"/>
        <v>instagram_blogger</v>
      </c>
      <c r="F173" s="10" t="s">
        <v>20</v>
      </c>
      <c r="G173" s="11">
        <v>374754</v>
      </c>
      <c r="H173" s="11">
        <v>192489</v>
      </c>
      <c r="I173" s="12">
        <v>15596</v>
      </c>
      <c r="J173" s="40">
        <f t="shared" si="23"/>
        <v>7.777067780496548E-3</v>
      </c>
      <c r="K173" s="11">
        <v>1497</v>
      </c>
      <c r="L173" s="6" t="b">
        <f t="shared" si="24"/>
        <v>0</v>
      </c>
      <c r="M173" s="11">
        <v>34</v>
      </c>
      <c r="N173" s="6" t="b">
        <f t="shared" si="26"/>
        <v>0</v>
      </c>
      <c r="O173" s="11">
        <v>5</v>
      </c>
      <c r="P173" s="6" t="b">
        <f t="shared" si="32"/>
        <v>0</v>
      </c>
      <c r="Q173" s="12">
        <v>25205</v>
      </c>
      <c r="R173" s="1">
        <f t="shared" si="28"/>
        <v>0</v>
      </c>
      <c r="S173" s="1">
        <f t="shared" si="29"/>
        <v>0</v>
      </c>
      <c r="T173" s="1">
        <f t="shared" si="30"/>
        <v>0</v>
      </c>
      <c r="U173" s="1">
        <f t="shared" si="31"/>
        <v>0</v>
      </c>
    </row>
    <row r="174" spans="1:21" ht="20" customHeight="1" x14ac:dyDescent="0.15">
      <c r="A174" s="8">
        <v>268</v>
      </c>
      <c r="B174" s="9" t="s">
        <v>51</v>
      </c>
      <c r="C174" s="41">
        <f t="shared" si="25"/>
        <v>44252</v>
      </c>
      <c r="D174" s="10" t="s">
        <v>18</v>
      </c>
      <c r="E174" s="36" t="str">
        <f t="shared" si="22"/>
        <v>google_wide</v>
      </c>
      <c r="F174" s="10" t="s">
        <v>17</v>
      </c>
      <c r="G174" s="11">
        <v>127823</v>
      </c>
      <c r="H174" s="11">
        <v>61867</v>
      </c>
      <c r="I174" s="13">
        <v>9472.2199999999993</v>
      </c>
      <c r="J174" s="40">
        <f t="shared" si="23"/>
        <v>7.8717248290688085E-3</v>
      </c>
      <c r="K174" s="11">
        <v>487</v>
      </c>
      <c r="L174" s="6" t="b">
        <f t="shared" si="24"/>
        <v>0</v>
      </c>
      <c r="M174" s="11">
        <v>19</v>
      </c>
      <c r="N174" s="6" t="b">
        <f t="shared" si="26"/>
        <v>0</v>
      </c>
      <c r="O174" s="11">
        <v>2</v>
      </c>
      <c r="P174" s="6" t="b">
        <f t="shared" si="32"/>
        <v>0</v>
      </c>
      <c r="Q174" s="12">
        <v>5730</v>
      </c>
      <c r="R174" s="1">
        <f t="shared" si="28"/>
        <v>0</v>
      </c>
      <c r="S174" s="1">
        <f t="shared" si="29"/>
        <v>0</v>
      </c>
      <c r="T174" s="1">
        <f t="shared" si="30"/>
        <v>0</v>
      </c>
      <c r="U174" s="1">
        <f t="shared" si="31"/>
        <v>0</v>
      </c>
    </row>
    <row r="175" spans="1:21" ht="20" customHeight="1" x14ac:dyDescent="0.15">
      <c r="A175" s="8">
        <v>232</v>
      </c>
      <c r="B175" s="9" t="s">
        <v>48</v>
      </c>
      <c r="C175" s="41">
        <f t="shared" si="25"/>
        <v>44249</v>
      </c>
      <c r="D175" s="10" t="s">
        <v>13</v>
      </c>
      <c r="E175" s="36" t="str">
        <f t="shared" si="22"/>
        <v>facebook_tier1</v>
      </c>
      <c r="F175" s="10" t="s">
        <v>14</v>
      </c>
      <c r="G175" s="11">
        <v>349043</v>
      </c>
      <c r="H175" s="11">
        <v>605386</v>
      </c>
      <c r="I175" s="12">
        <v>59710</v>
      </c>
      <c r="J175" s="40">
        <f t="shared" si="23"/>
        <v>7.9321292530715945E-3</v>
      </c>
      <c r="K175" s="11">
        <v>4802</v>
      </c>
      <c r="L175" s="6" t="b">
        <f t="shared" si="24"/>
        <v>0</v>
      </c>
      <c r="M175" s="11">
        <v>96</v>
      </c>
      <c r="N175" s="6" t="b">
        <f t="shared" si="26"/>
        <v>0</v>
      </c>
      <c r="O175" s="11">
        <v>12</v>
      </c>
      <c r="P175" s="6" t="b">
        <f t="shared" si="32"/>
        <v>0</v>
      </c>
      <c r="Q175" s="12">
        <v>67632</v>
      </c>
      <c r="R175" s="1">
        <f t="shared" si="28"/>
        <v>0</v>
      </c>
      <c r="S175" s="1">
        <f t="shared" si="29"/>
        <v>0</v>
      </c>
      <c r="T175" s="1">
        <f t="shared" si="30"/>
        <v>0</v>
      </c>
      <c r="U175" s="1">
        <f t="shared" si="31"/>
        <v>0</v>
      </c>
    </row>
    <row r="176" spans="1:21" ht="20" customHeight="1" x14ac:dyDescent="0.15">
      <c r="A176" s="8">
        <v>185</v>
      </c>
      <c r="B176" s="9" t="s">
        <v>43</v>
      </c>
      <c r="C176" s="41">
        <f t="shared" si="25"/>
        <v>44244</v>
      </c>
      <c r="D176" s="10" t="s">
        <v>24</v>
      </c>
      <c r="E176" s="36" t="str">
        <f t="shared" si="22"/>
        <v>facebook_lal</v>
      </c>
      <c r="F176" s="10" t="s">
        <v>14</v>
      </c>
      <c r="G176" s="11">
        <v>544756</v>
      </c>
      <c r="H176" s="11">
        <v>1361187</v>
      </c>
      <c r="I176" s="12">
        <v>291254</v>
      </c>
      <c r="J176" s="40">
        <f t="shared" si="23"/>
        <v>7.9415980317179054E-3</v>
      </c>
      <c r="K176" s="11">
        <v>10810</v>
      </c>
      <c r="L176" s="6" t="b">
        <f t="shared" si="24"/>
        <v>0</v>
      </c>
      <c r="M176" s="11">
        <v>216</v>
      </c>
      <c r="N176" s="6" t="b">
        <f t="shared" si="26"/>
        <v>0</v>
      </c>
      <c r="O176" s="11">
        <v>32</v>
      </c>
      <c r="P176" s="6" t="b">
        <f t="shared" si="32"/>
        <v>0</v>
      </c>
      <c r="Q176" s="12">
        <v>31392</v>
      </c>
      <c r="R176" s="1">
        <f t="shared" si="28"/>
        <v>0</v>
      </c>
      <c r="S176" s="1">
        <f t="shared" si="29"/>
        <v>0</v>
      </c>
      <c r="T176" s="1">
        <f t="shared" si="30"/>
        <v>0</v>
      </c>
      <c r="U176" s="1">
        <f t="shared" si="31"/>
        <v>0</v>
      </c>
    </row>
    <row r="177" spans="1:21" ht="20" customHeight="1" x14ac:dyDescent="0.15">
      <c r="A177" s="8">
        <v>133</v>
      </c>
      <c r="B177" s="9" t="s">
        <v>39</v>
      </c>
      <c r="C177" s="41">
        <f t="shared" si="25"/>
        <v>44240</v>
      </c>
      <c r="D177" s="10" t="s">
        <v>13</v>
      </c>
      <c r="E177" s="36" t="str">
        <f t="shared" si="22"/>
        <v>facebook_tier1</v>
      </c>
      <c r="F177" s="10" t="s">
        <v>14</v>
      </c>
      <c r="G177" s="11">
        <v>349043</v>
      </c>
      <c r="H177" s="11">
        <v>1496322</v>
      </c>
      <c r="I177" s="12">
        <v>308692</v>
      </c>
      <c r="J177" s="40">
        <f t="shared" si="23"/>
        <v>8.0129811631453659E-3</v>
      </c>
      <c r="K177" s="11">
        <v>11990</v>
      </c>
      <c r="L177" s="6" t="b">
        <f t="shared" si="24"/>
        <v>0</v>
      </c>
      <c r="M177" s="11">
        <v>397</v>
      </c>
      <c r="N177" s="6" t="b">
        <f t="shared" si="26"/>
        <v>0</v>
      </c>
      <c r="O177" s="11">
        <v>60</v>
      </c>
      <c r="P177" s="6" t="b">
        <f t="shared" si="32"/>
        <v>0</v>
      </c>
      <c r="Q177" s="12">
        <v>341880</v>
      </c>
      <c r="R177" s="1">
        <f t="shared" si="28"/>
        <v>0</v>
      </c>
      <c r="S177" s="1">
        <f t="shared" si="29"/>
        <v>0</v>
      </c>
      <c r="T177" s="1">
        <f t="shared" si="30"/>
        <v>0</v>
      </c>
      <c r="U177" s="1">
        <f t="shared" si="31"/>
        <v>0</v>
      </c>
    </row>
    <row r="178" spans="1:21" ht="20" customHeight="1" x14ac:dyDescent="0.15">
      <c r="A178" s="8">
        <v>262</v>
      </c>
      <c r="B178" s="9" t="s">
        <v>50</v>
      </c>
      <c r="C178" s="41">
        <f t="shared" si="25"/>
        <v>44251</v>
      </c>
      <c r="D178" s="10" t="s">
        <v>24</v>
      </c>
      <c r="E178" s="36" t="str">
        <f t="shared" si="22"/>
        <v>facebook_lal</v>
      </c>
      <c r="F178" s="10" t="s">
        <v>14</v>
      </c>
      <c r="G178" s="11">
        <v>544756</v>
      </c>
      <c r="H178" s="11">
        <v>148794</v>
      </c>
      <c r="I178" s="12">
        <v>48796.6</v>
      </c>
      <c r="J178" s="40">
        <f t="shared" si="23"/>
        <v>8.0379585198327892E-3</v>
      </c>
      <c r="K178" s="11">
        <v>1196</v>
      </c>
      <c r="L178" s="6" t="b">
        <f t="shared" si="24"/>
        <v>0</v>
      </c>
      <c r="M178" s="11">
        <v>38</v>
      </c>
      <c r="N178" s="6" t="b">
        <f t="shared" si="26"/>
        <v>0</v>
      </c>
      <c r="O178" s="11">
        <v>6</v>
      </c>
      <c r="P178" s="6" t="b">
        <f t="shared" si="32"/>
        <v>0</v>
      </c>
      <c r="Q178" s="12">
        <v>8178</v>
      </c>
      <c r="R178" s="1">
        <f t="shared" si="28"/>
        <v>0</v>
      </c>
      <c r="S178" s="1">
        <f t="shared" si="29"/>
        <v>0</v>
      </c>
      <c r="T178" s="1">
        <f t="shared" si="30"/>
        <v>0</v>
      </c>
      <c r="U178" s="1">
        <f t="shared" si="31"/>
        <v>0</v>
      </c>
    </row>
    <row r="179" spans="1:21" ht="20" customHeight="1" x14ac:dyDescent="0.15">
      <c r="A179" s="8">
        <v>4</v>
      </c>
      <c r="B179" s="9" t="s">
        <v>12</v>
      </c>
      <c r="C179" s="41">
        <f t="shared" si="25"/>
        <v>44228</v>
      </c>
      <c r="D179" s="10" t="s">
        <v>18</v>
      </c>
      <c r="E179" s="36" t="str">
        <f t="shared" si="22"/>
        <v>google_wide</v>
      </c>
      <c r="F179" s="10" t="s">
        <v>17</v>
      </c>
      <c r="G179" s="11">
        <v>127823</v>
      </c>
      <c r="H179" s="11">
        <v>147038</v>
      </c>
      <c r="I179" s="12">
        <v>6037</v>
      </c>
      <c r="J179" s="40">
        <f t="shared" si="23"/>
        <v>8.1339517675702872E-3</v>
      </c>
      <c r="K179" s="11">
        <v>1196</v>
      </c>
      <c r="L179" s="6" t="b">
        <f t="shared" si="24"/>
        <v>0</v>
      </c>
      <c r="M179" s="11">
        <v>24</v>
      </c>
      <c r="N179" s="6" t="b">
        <f t="shared" si="26"/>
        <v>0</v>
      </c>
      <c r="O179" s="11">
        <v>1</v>
      </c>
      <c r="P179" s="6" t="b">
        <f t="shared" si="32"/>
        <v>0</v>
      </c>
      <c r="Q179" s="12">
        <v>2114</v>
      </c>
      <c r="R179" s="1">
        <f t="shared" si="28"/>
        <v>0</v>
      </c>
      <c r="S179" s="1">
        <f t="shared" si="29"/>
        <v>0</v>
      </c>
      <c r="T179" s="1">
        <f t="shared" si="30"/>
        <v>0</v>
      </c>
      <c r="U179" s="1">
        <f t="shared" si="31"/>
        <v>0</v>
      </c>
    </row>
    <row r="180" spans="1:21" ht="20" customHeight="1" x14ac:dyDescent="0.15">
      <c r="A180" s="8">
        <v>39</v>
      </c>
      <c r="B180" s="9" t="s">
        <v>30</v>
      </c>
      <c r="C180" s="41">
        <f t="shared" si="25"/>
        <v>44231</v>
      </c>
      <c r="D180" s="10" t="s">
        <v>21</v>
      </c>
      <c r="E180" s="36" t="str">
        <f t="shared" si="22"/>
        <v>instagram_tier1</v>
      </c>
      <c r="F180" s="10" t="s">
        <v>14</v>
      </c>
      <c r="G180" s="11">
        <v>9034945</v>
      </c>
      <c r="H180" s="11">
        <v>1322751</v>
      </c>
      <c r="I180" s="12">
        <v>104028</v>
      </c>
      <c r="J180" s="40">
        <f t="shared" si="23"/>
        <v>8.1602659911049012E-3</v>
      </c>
      <c r="K180" s="11">
        <v>10794</v>
      </c>
      <c r="L180" s="6" t="b">
        <f t="shared" si="24"/>
        <v>0</v>
      </c>
      <c r="M180" s="11">
        <v>238</v>
      </c>
      <c r="N180" s="6" t="b">
        <f t="shared" si="26"/>
        <v>0</v>
      </c>
      <c r="O180" s="11">
        <v>27</v>
      </c>
      <c r="P180" s="6" t="b">
        <f t="shared" si="32"/>
        <v>0</v>
      </c>
      <c r="Q180" s="12">
        <v>179037</v>
      </c>
      <c r="R180" s="1">
        <f t="shared" si="28"/>
        <v>0</v>
      </c>
      <c r="S180" s="1">
        <f t="shared" si="29"/>
        <v>0</v>
      </c>
      <c r="T180" s="1">
        <f t="shared" si="30"/>
        <v>0</v>
      </c>
      <c r="U180" s="1">
        <f t="shared" si="31"/>
        <v>0</v>
      </c>
    </row>
    <row r="181" spans="1:21" ht="20" customHeight="1" x14ac:dyDescent="0.15">
      <c r="A181" s="8">
        <v>1</v>
      </c>
      <c r="B181" s="9" t="s">
        <v>12</v>
      </c>
      <c r="C181" s="41">
        <f t="shared" si="25"/>
        <v>44228</v>
      </c>
      <c r="D181" s="39" t="s">
        <v>13</v>
      </c>
      <c r="E181" s="36" t="str">
        <f t="shared" si="22"/>
        <v>facebook_tier1</v>
      </c>
      <c r="F181" s="10" t="s">
        <v>14</v>
      </c>
      <c r="G181" s="11">
        <v>349043</v>
      </c>
      <c r="H181" s="11">
        <v>148263</v>
      </c>
      <c r="I181" s="13">
        <v>7307.37</v>
      </c>
      <c r="J181" s="40">
        <f t="shared" si="23"/>
        <v>8.1611730505925274E-3</v>
      </c>
      <c r="K181" s="11">
        <v>1210</v>
      </c>
      <c r="L181" s="6" t="b">
        <f t="shared" si="24"/>
        <v>0</v>
      </c>
      <c r="M181" s="11">
        <v>13</v>
      </c>
      <c r="N181" s="6" t="b">
        <f t="shared" si="26"/>
        <v>0</v>
      </c>
      <c r="O181" s="11">
        <v>1</v>
      </c>
      <c r="P181" s="6" t="b">
        <f>(O181)&gt;(M181)</f>
        <v>0</v>
      </c>
      <c r="Q181" s="12">
        <v>4981</v>
      </c>
      <c r="R181" s="1">
        <f t="shared" si="28"/>
        <v>0</v>
      </c>
      <c r="S181" s="1">
        <f t="shared" si="29"/>
        <v>0</v>
      </c>
      <c r="T181" s="1">
        <f t="shared" si="30"/>
        <v>0</v>
      </c>
      <c r="U181" s="1">
        <f t="shared" si="31"/>
        <v>0</v>
      </c>
    </row>
    <row r="182" spans="1:21" ht="20" customHeight="1" x14ac:dyDescent="0.15">
      <c r="A182" s="8">
        <v>260</v>
      </c>
      <c r="B182" s="9" t="s">
        <v>50</v>
      </c>
      <c r="C182" s="41">
        <f t="shared" si="25"/>
        <v>44251</v>
      </c>
      <c r="D182" s="10" t="s">
        <v>22</v>
      </c>
      <c r="E182" s="36" t="str">
        <f t="shared" si="22"/>
        <v>instagram_tier2</v>
      </c>
      <c r="F182" s="10" t="s">
        <v>14</v>
      </c>
      <c r="G182" s="11">
        <v>983498</v>
      </c>
      <c r="H182" s="11">
        <v>624157</v>
      </c>
      <c r="I182" s="12">
        <v>18675</v>
      </c>
      <c r="J182" s="40">
        <f t="shared" si="23"/>
        <v>8.1678167512340642E-3</v>
      </c>
      <c r="K182" s="11">
        <v>5098</v>
      </c>
      <c r="L182" s="6" t="b">
        <f t="shared" si="24"/>
        <v>0</v>
      </c>
      <c r="M182" s="11">
        <v>122</v>
      </c>
      <c r="N182" s="6" t="b">
        <f t="shared" si="26"/>
        <v>0</v>
      </c>
      <c r="O182" s="11">
        <v>6</v>
      </c>
      <c r="P182" s="6" t="b">
        <f t="shared" ref="P182:P213" si="33">(O181)&gt;(M181)</f>
        <v>0</v>
      </c>
      <c r="Q182" s="12">
        <v>10590</v>
      </c>
      <c r="R182" s="1">
        <f t="shared" si="28"/>
        <v>0</v>
      </c>
      <c r="S182" s="1">
        <f t="shared" si="29"/>
        <v>0</v>
      </c>
      <c r="T182" s="1">
        <f t="shared" si="30"/>
        <v>0</v>
      </c>
      <c r="U182" s="1">
        <f t="shared" si="31"/>
        <v>0</v>
      </c>
    </row>
    <row r="183" spans="1:21" ht="20" customHeight="1" x14ac:dyDescent="0.15">
      <c r="A183" s="8">
        <v>170</v>
      </c>
      <c r="B183" s="9" t="s">
        <v>42</v>
      </c>
      <c r="C183" s="41">
        <f t="shared" si="25"/>
        <v>44243</v>
      </c>
      <c r="D183" s="10" t="s">
        <v>19</v>
      </c>
      <c r="E183" s="36" t="str">
        <f t="shared" si="22"/>
        <v>youtube_blogger</v>
      </c>
      <c r="F183" s="10" t="s">
        <v>20</v>
      </c>
      <c r="G183" s="11">
        <v>10934</v>
      </c>
      <c r="H183" s="11">
        <v>4371118</v>
      </c>
      <c r="I183" s="12">
        <v>221258</v>
      </c>
      <c r="J183" s="40">
        <f t="shared" si="23"/>
        <v>8.2356504674547786E-3</v>
      </c>
      <c r="K183" s="11">
        <v>35999</v>
      </c>
      <c r="L183" s="6" t="b">
        <f t="shared" si="24"/>
        <v>0</v>
      </c>
      <c r="M183" s="11">
        <v>720</v>
      </c>
      <c r="N183" s="6" t="b">
        <f t="shared" si="26"/>
        <v>0</v>
      </c>
      <c r="O183" s="11">
        <v>128</v>
      </c>
      <c r="P183" s="6" t="b">
        <f t="shared" si="33"/>
        <v>0</v>
      </c>
      <c r="Q183" s="12">
        <v>1021570</v>
      </c>
      <c r="R183" s="1">
        <f t="shared" si="28"/>
        <v>0</v>
      </c>
      <c r="S183" s="1">
        <f t="shared" si="29"/>
        <v>0</v>
      </c>
      <c r="T183" s="1">
        <f t="shared" si="30"/>
        <v>0</v>
      </c>
      <c r="U183" s="1">
        <f t="shared" si="31"/>
        <v>0</v>
      </c>
    </row>
    <row r="184" spans="1:21" ht="20" customHeight="1" x14ac:dyDescent="0.15">
      <c r="A184" s="8">
        <v>257</v>
      </c>
      <c r="B184" s="9" t="s">
        <v>50</v>
      </c>
      <c r="C184" s="41">
        <f t="shared" si="25"/>
        <v>44251</v>
      </c>
      <c r="D184" s="10" t="s">
        <v>18</v>
      </c>
      <c r="E184" s="36" t="str">
        <f t="shared" si="22"/>
        <v>google_wide</v>
      </c>
      <c r="F184" s="10" t="s">
        <v>17</v>
      </c>
      <c r="G184" s="11">
        <v>127823</v>
      </c>
      <c r="H184" s="11">
        <v>291441</v>
      </c>
      <c r="I184" s="12">
        <v>22357.599999999999</v>
      </c>
      <c r="J184" s="40">
        <f t="shared" si="23"/>
        <v>8.262392731290381E-3</v>
      </c>
      <c r="K184" s="11">
        <v>2408</v>
      </c>
      <c r="L184" s="6" t="b">
        <f t="shared" si="24"/>
        <v>0</v>
      </c>
      <c r="M184" s="11">
        <v>52</v>
      </c>
      <c r="N184" s="6" t="b">
        <f t="shared" si="26"/>
        <v>0</v>
      </c>
      <c r="O184" s="11">
        <v>5</v>
      </c>
      <c r="P184" s="6" t="b">
        <f t="shared" si="33"/>
        <v>0</v>
      </c>
      <c r="Q184" s="12">
        <v>19060</v>
      </c>
      <c r="R184" s="1">
        <f t="shared" si="28"/>
        <v>0</v>
      </c>
      <c r="S184" s="1">
        <f t="shared" si="29"/>
        <v>0</v>
      </c>
      <c r="T184" s="1">
        <f t="shared" si="30"/>
        <v>0</v>
      </c>
      <c r="U184" s="1">
        <f t="shared" si="31"/>
        <v>0</v>
      </c>
    </row>
    <row r="185" spans="1:21" ht="20" customHeight="1" x14ac:dyDescent="0.15">
      <c r="A185" s="8">
        <v>87</v>
      </c>
      <c r="B185" s="9" t="s">
        <v>34</v>
      </c>
      <c r="C185" s="41">
        <f t="shared" si="25"/>
        <v>44235</v>
      </c>
      <c r="D185" s="10" t="s">
        <v>25</v>
      </c>
      <c r="E185" s="36" t="str">
        <f t="shared" si="22"/>
        <v>instagram_blogger</v>
      </c>
      <c r="F185" s="10" t="s">
        <v>20</v>
      </c>
      <c r="G185" s="11">
        <v>374754</v>
      </c>
      <c r="H185" s="11">
        <v>361650</v>
      </c>
      <c r="I185" s="12">
        <v>31154.3</v>
      </c>
      <c r="J185" s="40">
        <f t="shared" si="23"/>
        <v>8.2704272086271263E-3</v>
      </c>
      <c r="K185" s="11">
        <v>2991</v>
      </c>
      <c r="L185" s="6" t="b">
        <f t="shared" si="24"/>
        <v>0</v>
      </c>
      <c r="M185" s="11">
        <v>60</v>
      </c>
      <c r="N185" s="6" t="b">
        <f t="shared" si="26"/>
        <v>0</v>
      </c>
      <c r="O185" s="11">
        <v>9</v>
      </c>
      <c r="P185" s="6" t="b">
        <f t="shared" si="33"/>
        <v>0</v>
      </c>
      <c r="Q185" s="12">
        <v>45027</v>
      </c>
      <c r="R185" s="1">
        <f t="shared" si="28"/>
        <v>0</v>
      </c>
      <c r="S185" s="1">
        <f t="shared" si="29"/>
        <v>0</v>
      </c>
      <c r="T185" s="1">
        <f t="shared" si="30"/>
        <v>0</v>
      </c>
      <c r="U185" s="1">
        <f t="shared" si="31"/>
        <v>0</v>
      </c>
    </row>
    <row r="186" spans="1:21" ht="20" customHeight="1" x14ac:dyDescent="0.15">
      <c r="A186" s="8">
        <v>255</v>
      </c>
      <c r="B186" s="9" t="s">
        <v>50</v>
      </c>
      <c r="C186" s="41">
        <f t="shared" si="25"/>
        <v>44251</v>
      </c>
      <c r="D186" s="10" t="s">
        <v>15</v>
      </c>
      <c r="E186" s="36" t="str">
        <f t="shared" si="22"/>
        <v>facebook_tier2</v>
      </c>
      <c r="F186" s="10" t="s">
        <v>14</v>
      </c>
      <c r="G186" s="11">
        <v>348934</v>
      </c>
      <c r="H186" s="11">
        <v>395127</v>
      </c>
      <c r="I186" s="12">
        <v>44347.199999999997</v>
      </c>
      <c r="J186" s="40">
        <f t="shared" si="23"/>
        <v>8.3441526395310883E-3</v>
      </c>
      <c r="K186" s="11">
        <v>3297</v>
      </c>
      <c r="L186" s="6" t="b">
        <f t="shared" si="24"/>
        <v>0</v>
      </c>
      <c r="M186" s="11">
        <v>66</v>
      </c>
      <c r="N186" s="6" t="b">
        <f t="shared" si="26"/>
        <v>0</v>
      </c>
      <c r="O186" s="11">
        <v>7</v>
      </c>
      <c r="P186" s="6" t="b">
        <f t="shared" si="33"/>
        <v>0</v>
      </c>
      <c r="Q186" s="12">
        <v>34867</v>
      </c>
      <c r="R186" s="1">
        <f t="shared" si="28"/>
        <v>0</v>
      </c>
      <c r="S186" s="1">
        <f t="shared" si="29"/>
        <v>0</v>
      </c>
      <c r="T186" s="1">
        <f t="shared" si="30"/>
        <v>0</v>
      </c>
      <c r="U186" s="1">
        <f t="shared" si="31"/>
        <v>0</v>
      </c>
    </row>
    <row r="187" spans="1:21" ht="20" customHeight="1" x14ac:dyDescent="0.15">
      <c r="A187" s="8">
        <v>295</v>
      </c>
      <c r="B187" s="9" t="s">
        <v>53</v>
      </c>
      <c r="C187" s="41">
        <f t="shared" si="25"/>
        <v>44254</v>
      </c>
      <c r="D187" s="10" t="s">
        <v>24</v>
      </c>
      <c r="E187" s="36" t="str">
        <f t="shared" si="22"/>
        <v>facebook_lal</v>
      </c>
      <c r="F187" s="10" t="s">
        <v>14</v>
      </c>
      <c r="G187" s="11">
        <v>544756</v>
      </c>
      <c r="H187" s="11">
        <v>13693</v>
      </c>
      <c r="I187" s="13">
        <v>3098.45</v>
      </c>
      <c r="J187" s="40">
        <f t="shared" si="23"/>
        <v>8.3984517636748711E-3</v>
      </c>
      <c r="K187" s="11">
        <v>115</v>
      </c>
      <c r="L187" s="6" t="b">
        <f t="shared" si="24"/>
        <v>0</v>
      </c>
      <c r="M187" s="11">
        <v>2</v>
      </c>
      <c r="N187" s="6" t="b">
        <f t="shared" si="26"/>
        <v>0</v>
      </c>
      <c r="O187" s="11">
        <v>0</v>
      </c>
      <c r="P187" s="6" t="b">
        <f t="shared" si="33"/>
        <v>0</v>
      </c>
      <c r="Q187" s="12">
        <v>0</v>
      </c>
      <c r="R187" s="1">
        <f t="shared" si="28"/>
        <v>0</v>
      </c>
      <c r="S187" s="1">
        <f t="shared" si="29"/>
        <v>0</v>
      </c>
      <c r="T187" s="1">
        <f t="shared" si="30"/>
        <v>0</v>
      </c>
      <c r="U187" s="1">
        <f t="shared" si="31"/>
        <v>0</v>
      </c>
    </row>
    <row r="188" spans="1:21" ht="20" customHeight="1" x14ac:dyDescent="0.15">
      <c r="A188" s="8">
        <v>263</v>
      </c>
      <c r="B188" s="9" t="s">
        <v>50</v>
      </c>
      <c r="C188" s="41">
        <f t="shared" si="25"/>
        <v>44251</v>
      </c>
      <c r="D188" s="10" t="s">
        <v>25</v>
      </c>
      <c r="E188" s="36" t="str">
        <f t="shared" si="22"/>
        <v>instagram_blogger</v>
      </c>
      <c r="F188" s="10" t="s">
        <v>20</v>
      </c>
      <c r="G188" s="11">
        <v>374754</v>
      </c>
      <c r="H188" s="11">
        <v>355802</v>
      </c>
      <c r="I188" s="12">
        <v>42311.5</v>
      </c>
      <c r="J188" s="40">
        <f t="shared" si="23"/>
        <v>8.4035502892057939E-3</v>
      </c>
      <c r="K188" s="11">
        <v>2990</v>
      </c>
      <c r="L188" s="6" t="b">
        <f t="shared" si="24"/>
        <v>0</v>
      </c>
      <c r="M188" s="11">
        <v>60</v>
      </c>
      <c r="N188" s="6" t="b">
        <f t="shared" si="26"/>
        <v>0</v>
      </c>
      <c r="O188" s="11">
        <v>9</v>
      </c>
      <c r="P188" s="6" t="b">
        <f t="shared" si="33"/>
        <v>0</v>
      </c>
      <c r="Q188" s="12">
        <v>44829</v>
      </c>
      <c r="R188" s="1">
        <f t="shared" si="28"/>
        <v>0</v>
      </c>
      <c r="S188" s="1">
        <f t="shared" si="29"/>
        <v>0</v>
      </c>
      <c r="T188" s="1">
        <f t="shared" si="30"/>
        <v>0</v>
      </c>
      <c r="U188" s="1">
        <f t="shared" si="31"/>
        <v>0</v>
      </c>
    </row>
    <row r="189" spans="1:21" ht="20" customHeight="1" x14ac:dyDescent="0.15">
      <c r="A189" s="8">
        <v>38</v>
      </c>
      <c r="B189" s="9" t="s">
        <v>30</v>
      </c>
      <c r="C189" s="41">
        <f t="shared" si="25"/>
        <v>44231</v>
      </c>
      <c r="D189" s="10" t="s">
        <v>19</v>
      </c>
      <c r="E189" s="36" t="str">
        <f t="shared" si="22"/>
        <v>youtube_blogger</v>
      </c>
      <c r="F189" s="10" t="s">
        <v>20</v>
      </c>
      <c r="G189" s="11">
        <v>10934</v>
      </c>
      <c r="H189" s="11">
        <v>2120555</v>
      </c>
      <c r="I189" s="12">
        <v>185263</v>
      </c>
      <c r="J189" s="40">
        <f t="shared" si="23"/>
        <v>8.4850428307683603E-3</v>
      </c>
      <c r="K189" s="11">
        <v>17993</v>
      </c>
      <c r="L189" s="6" t="b">
        <f t="shared" si="24"/>
        <v>0</v>
      </c>
      <c r="M189" s="11">
        <v>445</v>
      </c>
      <c r="N189" s="6" t="b">
        <f t="shared" si="26"/>
        <v>0</v>
      </c>
      <c r="O189" s="11">
        <v>89</v>
      </c>
      <c r="P189" s="6" t="b">
        <f t="shared" si="33"/>
        <v>0</v>
      </c>
      <c r="Q189" s="12">
        <v>624958</v>
      </c>
      <c r="R189" s="1">
        <f t="shared" si="28"/>
        <v>0</v>
      </c>
      <c r="S189" s="1">
        <f t="shared" si="29"/>
        <v>0</v>
      </c>
      <c r="T189" s="1">
        <f t="shared" si="30"/>
        <v>0</v>
      </c>
      <c r="U189" s="1">
        <f t="shared" si="31"/>
        <v>0</v>
      </c>
    </row>
    <row r="190" spans="1:21" ht="20" customHeight="1" x14ac:dyDescent="0.15">
      <c r="A190" s="8">
        <v>303</v>
      </c>
      <c r="B190" s="9" t="s">
        <v>54</v>
      </c>
      <c r="C190" s="41">
        <f t="shared" si="25"/>
        <v>44255</v>
      </c>
      <c r="D190" s="10" t="s">
        <v>21</v>
      </c>
      <c r="E190" s="36" t="str">
        <f t="shared" si="22"/>
        <v>instagram_tier1</v>
      </c>
      <c r="F190" s="10" t="s">
        <v>14</v>
      </c>
      <c r="G190" s="11">
        <v>9034945</v>
      </c>
      <c r="H190" s="11">
        <v>63566</v>
      </c>
      <c r="I190" s="13">
        <v>4950.74</v>
      </c>
      <c r="J190" s="40">
        <f t="shared" si="23"/>
        <v>8.5894975301261684E-3</v>
      </c>
      <c r="K190" s="11">
        <v>546</v>
      </c>
      <c r="L190" s="6" t="b">
        <f t="shared" si="24"/>
        <v>0</v>
      </c>
      <c r="M190" s="11">
        <v>12</v>
      </c>
      <c r="N190" s="6" t="b">
        <f t="shared" si="26"/>
        <v>0</v>
      </c>
      <c r="O190" s="11">
        <v>1</v>
      </c>
      <c r="P190" s="6" t="b">
        <f t="shared" si="33"/>
        <v>0</v>
      </c>
      <c r="Q190" s="12">
        <v>5981</v>
      </c>
      <c r="R190" s="1">
        <f t="shared" si="28"/>
        <v>0</v>
      </c>
      <c r="S190" s="1">
        <f t="shared" si="29"/>
        <v>0</v>
      </c>
      <c r="T190" s="1">
        <f t="shared" si="30"/>
        <v>0</v>
      </c>
      <c r="U190" s="1">
        <f t="shared" si="31"/>
        <v>0</v>
      </c>
    </row>
    <row r="191" spans="1:21" ht="20" customHeight="1" x14ac:dyDescent="0.15">
      <c r="A191" s="8">
        <v>98</v>
      </c>
      <c r="B191" s="9" t="s">
        <v>35</v>
      </c>
      <c r="C191" s="41">
        <f t="shared" si="25"/>
        <v>44236</v>
      </c>
      <c r="D191" s="10" t="s">
        <v>25</v>
      </c>
      <c r="E191" s="36" t="str">
        <f t="shared" si="22"/>
        <v>instagram_blogger</v>
      </c>
      <c r="F191" s="10" t="s">
        <v>20</v>
      </c>
      <c r="G191" s="11">
        <v>374754</v>
      </c>
      <c r="H191" s="11">
        <v>346068</v>
      </c>
      <c r="I191" s="12">
        <v>57642.400000000001</v>
      </c>
      <c r="J191" s="40">
        <f t="shared" si="23"/>
        <v>8.6861541662332266E-3</v>
      </c>
      <c r="K191" s="11">
        <v>3006</v>
      </c>
      <c r="L191" s="6" t="b">
        <f t="shared" si="24"/>
        <v>0</v>
      </c>
      <c r="M191" s="11">
        <v>99</v>
      </c>
      <c r="N191" s="6" t="b">
        <f t="shared" si="26"/>
        <v>0</v>
      </c>
      <c r="O191" s="11">
        <v>15</v>
      </c>
      <c r="P191" s="6" t="b">
        <f t="shared" si="33"/>
        <v>0</v>
      </c>
      <c r="Q191" s="12">
        <v>89460</v>
      </c>
      <c r="R191" s="1">
        <f t="shared" si="28"/>
        <v>0</v>
      </c>
      <c r="S191" s="1">
        <f t="shared" si="29"/>
        <v>0</v>
      </c>
      <c r="T191" s="1">
        <f t="shared" si="30"/>
        <v>0</v>
      </c>
      <c r="U191" s="1">
        <f t="shared" si="31"/>
        <v>0</v>
      </c>
    </row>
    <row r="192" spans="1:21" ht="20" customHeight="1" x14ac:dyDescent="0.15">
      <c r="A192" s="8">
        <v>301</v>
      </c>
      <c r="B192" s="9" t="s">
        <v>54</v>
      </c>
      <c r="C192" s="41">
        <f t="shared" si="25"/>
        <v>44255</v>
      </c>
      <c r="D192" s="10" t="s">
        <v>18</v>
      </c>
      <c r="E192" s="36" t="str">
        <f t="shared" si="22"/>
        <v>google_wide</v>
      </c>
      <c r="F192" s="10" t="s">
        <v>17</v>
      </c>
      <c r="G192" s="11">
        <v>127823</v>
      </c>
      <c r="H192" s="11">
        <v>55625</v>
      </c>
      <c r="I192" s="13">
        <v>384.75</v>
      </c>
      <c r="J192" s="40">
        <f t="shared" si="23"/>
        <v>8.7550561797752804E-3</v>
      </c>
      <c r="K192" s="11">
        <v>487</v>
      </c>
      <c r="L192" s="6" t="b">
        <f t="shared" si="24"/>
        <v>0</v>
      </c>
      <c r="M192" s="11">
        <v>1</v>
      </c>
      <c r="N192" s="6" t="b">
        <f t="shared" si="26"/>
        <v>0</v>
      </c>
      <c r="O192" s="11">
        <v>0</v>
      </c>
      <c r="P192" s="6" t="b">
        <f t="shared" si="33"/>
        <v>0</v>
      </c>
      <c r="Q192" s="12">
        <v>0</v>
      </c>
      <c r="R192" s="1">
        <f t="shared" si="28"/>
        <v>0</v>
      </c>
      <c r="S192" s="1">
        <f t="shared" si="29"/>
        <v>0</v>
      </c>
      <c r="T192" s="1">
        <f t="shared" si="30"/>
        <v>0</v>
      </c>
      <c r="U192" s="1">
        <f t="shared" si="31"/>
        <v>0</v>
      </c>
    </row>
    <row r="193" spans="1:21" ht="20" customHeight="1" x14ac:dyDescent="0.15">
      <c r="A193" s="8">
        <v>271</v>
      </c>
      <c r="B193" s="9" t="s">
        <v>51</v>
      </c>
      <c r="C193" s="41">
        <f t="shared" si="25"/>
        <v>44252</v>
      </c>
      <c r="D193" s="10" t="s">
        <v>22</v>
      </c>
      <c r="E193" s="36" t="str">
        <f t="shared" si="22"/>
        <v>instagram_tier2</v>
      </c>
      <c r="F193" s="10" t="s">
        <v>14</v>
      </c>
      <c r="G193" s="11">
        <v>983498</v>
      </c>
      <c r="H193" s="11">
        <v>115468</v>
      </c>
      <c r="I193" s="13">
        <v>2059.0300000000002</v>
      </c>
      <c r="J193" s="40">
        <f t="shared" si="23"/>
        <v>8.7903141996050847E-3</v>
      </c>
      <c r="K193" s="11">
        <v>1015</v>
      </c>
      <c r="L193" s="6" t="b">
        <f t="shared" si="24"/>
        <v>0</v>
      </c>
      <c r="M193" s="11">
        <v>20</v>
      </c>
      <c r="N193" s="6" t="b">
        <f t="shared" si="26"/>
        <v>0</v>
      </c>
      <c r="O193" s="11">
        <v>1</v>
      </c>
      <c r="P193" s="6" t="b">
        <f t="shared" si="33"/>
        <v>0</v>
      </c>
      <c r="Q193" s="12">
        <v>1981</v>
      </c>
      <c r="R193" s="1">
        <f t="shared" si="28"/>
        <v>0</v>
      </c>
      <c r="S193" s="1">
        <f t="shared" si="29"/>
        <v>0</v>
      </c>
      <c r="T193" s="1">
        <f t="shared" si="30"/>
        <v>0</v>
      </c>
      <c r="U193" s="1">
        <f t="shared" si="31"/>
        <v>0</v>
      </c>
    </row>
    <row r="194" spans="1:21" ht="20" customHeight="1" x14ac:dyDescent="0.15">
      <c r="A194" s="8">
        <v>24</v>
      </c>
      <c r="B194" s="9" t="s">
        <v>29</v>
      </c>
      <c r="C194" s="41">
        <f t="shared" si="25"/>
        <v>44230</v>
      </c>
      <c r="D194" s="10" t="s">
        <v>15</v>
      </c>
      <c r="E194" s="36" t="str">
        <f t="shared" si="22"/>
        <v>facebook_tier2</v>
      </c>
      <c r="F194" s="10" t="s">
        <v>14</v>
      </c>
      <c r="G194" s="11">
        <v>348934</v>
      </c>
      <c r="H194" s="11">
        <v>1105666</v>
      </c>
      <c r="I194" s="12">
        <v>78958.3</v>
      </c>
      <c r="J194" s="40">
        <f t="shared" si="23"/>
        <v>8.9520705167745046E-3</v>
      </c>
      <c r="K194" s="11">
        <v>9898</v>
      </c>
      <c r="L194" s="6" t="b">
        <f t="shared" si="24"/>
        <v>0</v>
      </c>
      <c r="M194" s="11">
        <v>226</v>
      </c>
      <c r="N194" s="6" t="b">
        <f t="shared" si="26"/>
        <v>0</v>
      </c>
      <c r="O194" s="11">
        <v>12</v>
      </c>
      <c r="P194" s="6" t="b">
        <f t="shared" si="33"/>
        <v>0</v>
      </c>
      <c r="Q194" s="12">
        <v>59772</v>
      </c>
      <c r="R194" s="1">
        <f t="shared" si="28"/>
        <v>0</v>
      </c>
      <c r="S194" s="1">
        <f t="shared" si="29"/>
        <v>0</v>
      </c>
      <c r="T194" s="1">
        <f t="shared" si="30"/>
        <v>0</v>
      </c>
      <c r="U194" s="1">
        <f t="shared" si="31"/>
        <v>0</v>
      </c>
    </row>
    <row r="195" spans="1:21" ht="20" customHeight="1" x14ac:dyDescent="0.15">
      <c r="A195" s="8">
        <v>73</v>
      </c>
      <c r="B195" s="9" t="s">
        <v>33</v>
      </c>
      <c r="C195" s="41">
        <f t="shared" si="25"/>
        <v>44234</v>
      </c>
      <c r="D195" s="10" t="s">
        <v>22</v>
      </c>
      <c r="E195" s="36" t="str">
        <f t="shared" ref="E195:E258" si="34">TRIM(LOWER(D195))</f>
        <v>instagram_tier2</v>
      </c>
      <c r="F195" s="10" t="s">
        <v>14</v>
      </c>
      <c r="G195" s="11">
        <v>983498</v>
      </c>
      <c r="H195" s="11">
        <v>567096</v>
      </c>
      <c r="I195" s="13">
        <v>6747.94</v>
      </c>
      <c r="J195" s="40">
        <f t="shared" ref="J195:J258" si="35">(K195)/(H195)</f>
        <v>8.9984764484320121E-3</v>
      </c>
      <c r="K195" s="11">
        <v>5103</v>
      </c>
      <c r="L195" s="6" t="b">
        <f t="shared" ref="L195:L258" si="36">(K195)&gt;(H195)</f>
        <v>0</v>
      </c>
      <c r="M195" s="11">
        <v>199</v>
      </c>
      <c r="N195" s="6" t="b">
        <f t="shared" si="26"/>
        <v>0</v>
      </c>
      <c r="O195" s="11">
        <v>2</v>
      </c>
      <c r="P195" s="6" t="b">
        <f t="shared" si="33"/>
        <v>0</v>
      </c>
      <c r="Q195" s="12">
        <v>3962</v>
      </c>
      <c r="R195" s="1">
        <f t="shared" si="28"/>
        <v>0</v>
      </c>
      <c r="S195" s="1">
        <f t="shared" si="29"/>
        <v>0</v>
      </c>
      <c r="T195" s="1">
        <f t="shared" si="30"/>
        <v>0</v>
      </c>
      <c r="U195" s="1">
        <f t="shared" si="31"/>
        <v>0</v>
      </c>
    </row>
    <row r="196" spans="1:21" ht="20" customHeight="1" x14ac:dyDescent="0.15">
      <c r="A196" s="8">
        <v>93</v>
      </c>
      <c r="B196" s="9" t="s">
        <v>35</v>
      </c>
      <c r="C196" s="41">
        <f t="shared" ref="C196:C259" si="37">DATEVALUE(B196)</f>
        <v>44236</v>
      </c>
      <c r="D196" s="10" t="s">
        <v>19</v>
      </c>
      <c r="E196" s="36" t="str">
        <f t="shared" si="34"/>
        <v>youtube_blogger</v>
      </c>
      <c r="F196" s="10" t="s">
        <v>20</v>
      </c>
      <c r="G196" s="11">
        <v>10934</v>
      </c>
      <c r="H196" s="11">
        <v>491821</v>
      </c>
      <c r="I196" s="12">
        <v>27833</v>
      </c>
      <c r="J196" s="40">
        <f t="shared" si="35"/>
        <v>9.1395040065389652E-3</v>
      </c>
      <c r="K196" s="11">
        <v>4495</v>
      </c>
      <c r="L196" s="6" t="b">
        <f t="shared" si="36"/>
        <v>0</v>
      </c>
      <c r="M196" s="11">
        <v>90</v>
      </c>
      <c r="N196" s="6" t="b">
        <f t="shared" ref="N196:N259" si="38">(M196)&gt;(K196)</f>
        <v>0</v>
      </c>
      <c r="O196" s="11">
        <v>18</v>
      </c>
      <c r="P196" s="6" t="b">
        <f t="shared" si="33"/>
        <v>0</v>
      </c>
      <c r="Q196" s="12">
        <v>143658</v>
      </c>
      <c r="R196" s="1">
        <f t="shared" ref="R196:R259" si="39">MOD(H196, 1)</f>
        <v>0</v>
      </c>
      <c r="S196" s="1">
        <f t="shared" ref="S196:S259" si="40">MOD(K196, 1)</f>
        <v>0</v>
      </c>
      <c r="T196" s="1">
        <f t="shared" ref="T196:T259" si="41">MOD(M196,1)</f>
        <v>0</v>
      </c>
      <c r="U196" s="1">
        <f t="shared" ref="U196:U259" si="42">MOD(O196,1)</f>
        <v>0</v>
      </c>
    </row>
    <row r="197" spans="1:21" ht="20" customHeight="1" x14ac:dyDescent="0.15">
      <c r="A197" s="8">
        <v>269</v>
      </c>
      <c r="B197" s="9" t="s">
        <v>51</v>
      </c>
      <c r="C197" s="41">
        <f t="shared" si="37"/>
        <v>44252</v>
      </c>
      <c r="D197" s="10" t="s">
        <v>19</v>
      </c>
      <c r="E197" s="36" t="str">
        <f t="shared" si="34"/>
        <v>youtube_blogger</v>
      </c>
      <c r="F197" s="10" t="s">
        <v>20</v>
      </c>
      <c r="G197" s="11">
        <v>10934</v>
      </c>
      <c r="H197" s="11">
        <v>94976</v>
      </c>
      <c r="I197" s="13">
        <v>9034.91</v>
      </c>
      <c r="J197" s="40">
        <f t="shared" si="35"/>
        <v>9.5181940700808619E-3</v>
      </c>
      <c r="K197" s="11">
        <v>904</v>
      </c>
      <c r="L197" s="6" t="b">
        <f t="shared" si="36"/>
        <v>0</v>
      </c>
      <c r="M197" s="11">
        <v>22</v>
      </c>
      <c r="N197" s="6" t="b">
        <f t="shared" si="38"/>
        <v>0</v>
      </c>
      <c r="O197" s="11">
        <v>5</v>
      </c>
      <c r="P197" s="6" t="b">
        <f t="shared" si="33"/>
        <v>0</v>
      </c>
      <c r="Q197" s="12">
        <v>38030</v>
      </c>
      <c r="R197" s="1">
        <f t="shared" si="39"/>
        <v>0</v>
      </c>
      <c r="S197" s="1">
        <f t="shared" si="40"/>
        <v>0</v>
      </c>
      <c r="T197" s="1">
        <f t="shared" si="41"/>
        <v>0</v>
      </c>
      <c r="U197" s="1">
        <f t="shared" si="42"/>
        <v>0</v>
      </c>
    </row>
    <row r="198" spans="1:21" ht="20" customHeight="1" x14ac:dyDescent="0.15">
      <c r="A198" s="8">
        <v>60</v>
      </c>
      <c r="B198" s="9" t="s">
        <v>32</v>
      </c>
      <c r="C198" s="41">
        <f t="shared" si="37"/>
        <v>44233</v>
      </c>
      <c r="D198" s="10" t="s">
        <v>19</v>
      </c>
      <c r="E198" s="36" t="str">
        <f t="shared" si="34"/>
        <v>youtube_blogger</v>
      </c>
      <c r="F198" s="10" t="s">
        <v>20</v>
      </c>
      <c r="G198" s="11">
        <v>10934</v>
      </c>
      <c r="H198" s="11">
        <v>472252</v>
      </c>
      <c r="I198" s="12">
        <v>80971.399999999994</v>
      </c>
      <c r="J198" s="40">
        <f t="shared" si="35"/>
        <v>9.5457509973488723E-3</v>
      </c>
      <c r="K198" s="11">
        <v>4508</v>
      </c>
      <c r="L198" s="6" t="b">
        <f t="shared" si="36"/>
        <v>0</v>
      </c>
      <c r="M198" s="11">
        <v>133</v>
      </c>
      <c r="N198" s="6" t="b">
        <f t="shared" si="38"/>
        <v>0</v>
      </c>
      <c r="O198" s="11">
        <v>27</v>
      </c>
      <c r="P198" s="6" t="b">
        <f t="shared" si="33"/>
        <v>0</v>
      </c>
      <c r="Q198" s="12">
        <v>215487</v>
      </c>
      <c r="R198" s="1">
        <f t="shared" si="39"/>
        <v>0</v>
      </c>
      <c r="S198" s="1">
        <f t="shared" si="40"/>
        <v>0</v>
      </c>
      <c r="T198" s="1">
        <f t="shared" si="41"/>
        <v>0</v>
      </c>
      <c r="U198" s="1">
        <f t="shared" si="42"/>
        <v>0</v>
      </c>
    </row>
    <row r="199" spans="1:21" ht="20" customHeight="1" x14ac:dyDescent="0.15">
      <c r="A199" s="8">
        <v>306</v>
      </c>
      <c r="B199" s="9" t="s">
        <v>54</v>
      </c>
      <c r="C199" s="41">
        <f t="shared" si="37"/>
        <v>44255</v>
      </c>
      <c r="D199" s="10" t="s">
        <v>24</v>
      </c>
      <c r="E199" s="36" t="str">
        <f t="shared" si="34"/>
        <v>facebook_lal</v>
      </c>
      <c r="F199" s="10" t="s">
        <v>14</v>
      </c>
      <c r="G199" s="11">
        <v>544756</v>
      </c>
      <c r="H199" s="11">
        <v>25840</v>
      </c>
      <c r="I199" s="12">
        <v>6844.8</v>
      </c>
      <c r="J199" s="40">
        <f t="shared" si="35"/>
        <v>9.5975232198142416E-3</v>
      </c>
      <c r="K199" s="11">
        <v>248</v>
      </c>
      <c r="L199" s="6" t="b">
        <f t="shared" si="36"/>
        <v>0</v>
      </c>
      <c r="M199" s="11">
        <v>5</v>
      </c>
      <c r="N199" s="6" t="b">
        <f t="shared" si="38"/>
        <v>0</v>
      </c>
      <c r="O199" s="11">
        <v>1</v>
      </c>
      <c r="P199" s="6" t="b">
        <f t="shared" si="33"/>
        <v>0</v>
      </c>
      <c r="Q199" s="12">
        <v>1491</v>
      </c>
      <c r="R199" s="1">
        <f t="shared" si="39"/>
        <v>0</v>
      </c>
      <c r="S199" s="1">
        <f t="shared" si="40"/>
        <v>0</v>
      </c>
      <c r="T199" s="1">
        <f t="shared" si="41"/>
        <v>0</v>
      </c>
      <c r="U199" s="1">
        <f t="shared" si="42"/>
        <v>0</v>
      </c>
    </row>
    <row r="200" spans="1:21" ht="20" customHeight="1" x14ac:dyDescent="0.15">
      <c r="A200" s="8">
        <v>186</v>
      </c>
      <c r="B200" s="9" t="s">
        <v>43</v>
      </c>
      <c r="C200" s="41">
        <f t="shared" si="37"/>
        <v>44244</v>
      </c>
      <c r="D200" s="10" t="s">
        <v>25</v>
      </c>
      <c r="E200" s="36" t="str">
        <f t="shared" si="34"/>
        <v>instagram_blogger</v>
      </c>
      <c r="F200" s="10" t="s">
        <v>20</v>
      </c>
      <c r="G200" s="11">
        <v>374754</v>
      </c>
      <c r="H200" s="11">
        <v>2795511</v>
      </c>
      <c r="I200" s="12">
        <v>462606</v>
      </c>
      <c r="J200" s="40">
        <f t="shared" si="35"/>
        <v>9.6547643704496238E-3</v>
      </c>
      <c r="K200" s="11">
        <v>26990</v>
      </c>
      <c r="L200" s="6" t="b">
        <f t="shared" si="36"/>
        <v>0</v>
      </c>
      <c r="M200" s="11">
        <v>795</v>
      </c>
      <c r="N200" s="6" t="b">
        <f t="shared" si="38"/>
        <v>0</v>
      </c>
      <c r="O200" s="11">
        <v>119</v>
      </c>
      <c r="P200" s="6" t="b">
        <f t="shared" si="33"/>
        <v>0</v>
      </c>
      <c r="Q200" s="12">
        <v>592739</v>
      </c>
      <c r="R200" s="1">
        <f t="shared" si="39"/>
        <v>0</v>
      </c>
      <c r="S200" s="1">
        <f t="shared" si="40"/>
        <v>0</v>
      </c>
      <c r="T200" s="1">
        <f t="shared" si="41"/>
        <v>0</v>
      </c>
      <c r="U200" s="1">
        <f t="shared" si="42"/>
        <v>0</v>
      </c>
    </row>
    <row r="201" spans="1:21" ht="20" customHeight="1" x14ac:dyDescent="0.15">
      <c r="A201" s="8">
        <v>5</v>
      </c>
      <c r="B201" s="9" t="s">
        <v>12</v>
      </c>
      <c r="C201" s="41">
        <f t="shared" si="37"/>
        <v>44228</v>
      </c>
      <c r="D201" s="10" t="s">
        <v>19</v>
      </c>
      <c r="E201" s="36" t="str">
        <f t="shared" si="34"/>
        <v>youtube_blogger</v>
      </c>
      <c r="F201" s="10" t="s">
        <v>20</v>
      </c>
      <c r="G201" s="11">
        <v>10934</v>
      </c>
      <c r="H201" s="11">
        <v>225800</v>
      </c>
      <c r="I201" s="12">
        <v>29962.2</v>
      </c>
      <c r="J201" s="40">
        <f t="shared" si="35"/>
        <v>0.01</v>
      </c>
      <c r="K201" s="11">
        <v>2258</v>
      </c>
      <c r="L201" s="6" t="b">
        <f t="shared" si="36"/>
        <v>0</v>
      </c>
      <c r="M201" s="11">
        <v>49</v>
      </c>
      <c r="N201" s="6" t="b">
        <f t="shared" si="38"/>
        <v>0</v>
      </c>
      <c r="O201" s="11">
        <v>10</v>
      </c>
      <c r="P201" s="6" t="b">
        <f t="shared" si="33"/>
        <v>0</v>
      </c>
      <c r="Q201" s="12">
        <v>84490</v>
      </c>
      <c r="R201" s="1">
        <f t="shared" si="39"/>
        <v>0</v>
      </c>
      <c r="S201" s="1">
        <f t="shared" si="40"/>
        <v>0</v>
      </c>
      <c r="T201" s="1">
        <f t="shared" si="41"/>
        <v>0</v>
      </c>
      <c r="U201" s="1">
        <f t="shared" si="42"/>
        <v>0</v>
      </c>
    </row>
    <row r="202" spans="1:21" ht="20" customHeight="1" x14ac:dyDescent="0.15">
      <c r="A202" s="8">
        <v>16</v>
      </c>
      <c r="B202" s="9" t="s">
        <v>28</v>
      </c>
      <c r="C202" s="41">
        <f t="shared" si="37"/>
        <v>44229</v>
      </c>
      <c r="D202" s="10" t="s">
        <v>19</v>
      </c>
      <c r="E202" s="36" t="str">
        <f t="shared" si="34"/>
        <v>youtube_blogger</v>
      </c>
      <c r="F202" s="10" t="s">
        <v>20</v>
      </c>
      <c r="G202" s="11">
        <v>10934</v>
      </c>
      <c r="H202" s="11">
        <v>449200</v>
      </c>
      <c r="I202" s="12">
        <v>42301.1</v>
      </c>
      <c r="J202" s="40">
        <f t="shared" si="35"/>
        <v>0.01</v>
      </c>
      <c r="K202" s="11">
        <v>4492</v>
      </c>
      <c r="L202" s="6" t="b">
        <f t="shared" si="36"/>
        <v>0</v>
      </c>
      <c r="M202" s="11">
        <v>85</v>
      </c>
      <c r="N202" s="6" t="b">
        <f t="shared" si="38"/>
        <v>0</v>
      </c>
      <c r="O202" s="11">
        <v>17</v>
      </c>
      <c r="P202" s="6" t="b">
        <f t="shared" si="33"/>
        <v>0</v>
      </c>
      <c r="Q202" s="12">
        <v>149141</v>
      </c>
      <c r="R202" s="1">
        <f t="shared" si="39"/>
        <v>0</v>
      </c>
      <c r="S202" s="1">
        <f t="shared" si="40"/>
        <v>0</v>
      </c>
      <c r="T202" s="1">
        <f t="shared" si="41"/>
        <v>0</v>
      </c>
      <c r="U202" s="1">
        <f t="shared" si="42"/>
        <v>0</v>
      </c>
    </row>
    <row r="203" spans="1:21" ht="20" customHeight="1" x14ac:dyDescent="0.15">
      <c r="A203" s="8">
        <v>21</v>
      </c>
      <c r="B203" s="9" t="s">
        <v>28</v>
      </c>
      <c r="C203" s="41">
        <f t="shared" si="37"/>
        <v>44229</v>
      </c>
      <c r="D203" s="10" t="s">
        <v>25</v>
      </c>
      <c r="E203" s="36" t="str">
        <f t="shared" si="34"/>
        <v>instagram_blogger</v>
      </c>
      <c r="F203" s="10" t="s">
        <v>20</v>
      </c>
      <c r="G203" s="11">
        <v>374754</v>
      </c>
      <c r="H203" s="11">
        <v>299600</v>
      </c>
      <c r="I203" s="12">
        <v>13919.1</v>
      </c>
      <c r="J203" s="40">
        <f t="shared" si="35"/>
        <v>0.01</v>
      </c>
      <c r="K203" s="11">
        <v>2996</v>
      </c>
      <c r="L203" s="6" t="b">
        <f t="shared" si="36"/>
        <v>0</v>
      </c>
      <c r="M203" s="11">
        <v>19</v>
      </c>
      <c r="N203" s="6" t="b">
        <f t="shared" si="38"/>
        <v>0</v>
      </c>
      <c r="O203" s="11">
        <v>3</v>
      </c>
      <c r="P203" s="6" t="b">
        <f t="shared" si="33"/>
        <v>0</v>
      </c>
      <c r="Q203" s="12">
        <v>14466</v>
      </c>
      <c r="R203" s="1">
        <f t="shared" si="39"/>
        <v>0</v>
      </c>
      <c r="S203" s="1">
        <f t="shared" si="40"/>
        <v>0</v>
      </c>
      <c r="T203" s="1">
        <f t="shared" si="41"/>
        <v>0</v>
      </c>
      <c r="U203" s="1">
        <f t="shared" si="42"/>
        <v>0</v>
      </c>
    </row>
    <row r="204" spans="1:21" ht="20" customHeight="1" x14ac:dyDescent="0.15">
      <c r="A204" s="8">
        <v>43</v>
      </c>
      <c r="B204" s="9" t="s">
        <v>30</v>
      </c>
      <c r="C204" s="41">
        <f t="shared" si="37"/>
        <v>44231</v>
      </c>
      <c r="D204" s="10" t="s">
        <v>25</v>
      </c>
      <c r="E204" s="36" t="str">
        <f t="shared" si="34"/>
        <v>instagram_blogger</v>
      </c>
      <c r="F204" s="10" t="s">
        <v>20</v>
      </c>
      <c r="G204" s="11">
        <v>374754</v>
      </c>
      <c r="H204" s="11">
        <v>1199300</v>
      </c>
      <c r="I204" s="12">
        <v>149279</v>
      </c>
      <c r="J204" s="40">
        <f t="shared" si="35"/>
        <v>0.01</v>
      </c>
      <c r="K204" s="11">
        <v>11993</v>
      </c>
      <c r="L204" s="6" t="b">
        <f t="shared" si="36"/>
        <v>0</v>
      </c>
      <c r="M204" s="11">
        <v>267</v>
      </c>
      <c r="N204" s="6" t="b">
        <f t="shared" si="38"/>
        <v>0</v>
      </c>
      <c r="O204" s="11">
        <v>38</v>
      </c>
      <c r="P204" s="6" t="b">
        <f t="shared" si="33"/>
        <v>0</v>
      </c>
      <c r="Q204" s="12">
        <v>224542</v>
      </c>
      <c r="R204" s="1">
        <f t="shared" si="39"/>
        <v>0</v>
      </c>
      <c r="S204" s="1">
        <f t="shared" si="40"/>
        <v>0</v>
      </c>
      <c r="T204" s="1">
        <f t="shared" si="41"/>
        <v>0</v>
      </c>
      <c r="U204" s="1">
        <f t="shared" si="42"/>
        <v>0</v>
      </c>
    </row>
    <row r="205" spans="1:21" ht="20" customHeight="1" x14ac:dyDescent="0.15">
      <c r="A205" s="8">
        <v>53</v>
      </c>
      <c r="B205" s="9" t="s">
        <v>31</v>
      </c>
      <c r="C205" s="41">
        <f t="shared" si="37"/>
        <v>44232</v>
      </c>
      <c r="D205" s="10" t="s">
        <v>24</v>
      </c>
      <c r="E205" s="36" t="str">
        <f t="shared" si="34"/>
        <v>facebook_lal</v>
      </c>
      <c r="F205" s="10" t="s">
        <v>14</v>
      </c>
      <c r="G205" s="11">
        <v>544756</v>
      </c>
      <c r="H205" s="11">
        <v>600400</v>
      </c>
      <c r="I205" s="12">
        <v>192789</v>
      </c>
      <c r="J205" s="40">
        <f t="shared" si="35"/>
        <v>0.01</v>
      </c>
      <c r="K205" s="11">
        <v>6004</v>
      </c>
      <c r="L205" s="6" t="b">
        <f t="shared" si="36"/>
        <v>0</v>
      </c>
      <c r="M205" s="11">
        <v>120</v>
      </c>
      <c r="N205" s="6" t="b">
        <f t="shared" si="38"/>
        <v>0</v>
      </c>
      <c r="O205" s="11">
        <v>21</v>
      </c>
      <c r="P205" s="6" t="b">
        <f t="shared" si="33"/>
        <v>0</v>
      </c>
      <c r="Q205" s="12">
        <v>9492</v>
      </c>
      <c r="R205" s="1">
        <f t="shared" si="39"/>
        <v>0</v>
      </c>
      <c r="S205" s="1">
        <f t="shared" si="40"/>
        <v>0</v>
      </c>
      <c r="T205" s="1">
        <f t="shared" si="41"/>
        <v>0</v>
      </c>
      <c r="U205" s="1">
        <f t="shared" si="42"/>
        <v>0</v>
      </c>
    </row>
    <row r="206" spans="1:21" ht="20" customHeight="1" x14ac:dyDescent="0.15">
      <c r="A206" s="8">
        <v>64</v>
      </c>
      <c r="B206" s="9" t="s">
        <v>32</v>
      </c>
      <c r="C206" s="41">
        <f t="shared" si="37"/>
        <v>44233</v>
      </c>
      <c r="D206" s="10" t="s">
        <v>24</v>
      </c>
      <c r="E206" s="36" t="str">
        <f t="shared" si="34"/>
        <v>facebook_lal</v>
      </c>
      <c r="F206" s="10" t="s">
        <v>14</v>
      </c>
      <c r="G206" s="11">
        <v>544756</v>
      </c>
      <c r="H206" s="11">
        <v>119700</v>
      </c>
      <c r="I206" s="12">
        <v>29281</v>
      </c>
      <c r="J206" s="40">
        <f t="shared" si="35"/>
        <v>0.01</v>
      </c>
      <c r="K206" s="11">
        <v>1197</v>
      </c>
      <c r="L206" s="6" t="b">
        <f t="shared" si="36"/>
        <v>0</v>
      </c>
      <c r="M206" s="11">
        <v>24</v>
      </c>
      <c r="N206" s="6" t="b">
        <f t="shared" si="38"/>
        <v>0</v>
      </c>
      <c r="O206" s="11">
        <v>4</v>
      </c>
      <c r="P206" s="6" t="b">
        <f t="shared" si="33"/>
        <v>0</v>
      </c>
      <c r="Q206" s="12">
        <v>6428</v>
      </c>
      <c r="R206" s="1">
        <f t="shared" si="39"/>
        <v>0</v>
      </c>
      <c r="S206" s="1">
        <f t="shared" si="40"/>
        <v>0</v>
      </c>
      <c r="T206" s="1">
        <f t="shared" si="41"/>
        <v>0</v>
      </c>
      <c r="U206" s="1">
        <f t="shared" si="42"/>
        <v>0</v>
      </c>
    </row>
    <row r="207" spans="1:21" ht="20" customHeight="1" x14ac:dyDescent="0.15">
      <c r="A207" s="8">
        <v>65</v>
      </c>
      <c r="B207" s="9" t="s">
        <v>32</v>
      </c>
      <c r="C207" s="41">
        <f t="shared" si="37"/>
        <v>44233</v>
      </c>
      <c r="D207" s="10" t="s">
        <v>25</v>
      </c>
      <c r="E207" s="36" t="str">
        <f t="shared" si="34"/>
        <v>instagram_blogger</v>
      </c>
      <c r="F207" s="10" t="s">
        <v>20</v>
      </c>
      <c r="G207" s="11">
        <v>374754</v>
      </c>
      <c r="H207" s="11">
        <v>300700</v>
      </c>
      <c r="I207" s="13">
        <v>8289.2099999999991</v>
      </c>
      <c r="J207" s="40">
        <f t="shared" si="35"/>
        <v>0.01</v>
      </c>
      <c r="K207" s="11">
        <v>3007</v>
      </c>
      <c r="L207" s="6" t="b">
        <f t="shared" si="36"/>
        <v>0</v>
      </c>
      <c r="M207" s="11">
        <v>20</v>
      </c>
      <c r="N207" s="6" t="b">
        <f t="shared" si="38"/>
        <v>0</v>
      </c>
      <c r="O207" s="11">
        <v>2</v>
      </c>
      <c r="P207" s="6" t="b">
        <f t="shared" si="33"/>
        <v>0</v>
      </c>
      <c r="Q207" s="12">
        <v>9450</v>
      </c>
      <c r="R207" s="1">
        <f t="shared" si="39"/>
        <v>0</v>
      </c>
      <c r="S207" s="1">
        <f t="shared" si="40"/>
        <v>0</v>
      </c>
      <c r="T207" s="1">
        <f t="shared" si="41"/>
        <v>0</v>
      </c>
      <c r="U207" s="1">
        <f t="shared" si="42"/>
        <v>0</v>
      </c>
    </row>
    <row r="208" spans="1:21" ht="20" customHeight="1" x14ac:dyDescent="0.15">
      <c r="A208" s="8">
        <v>76</v>
      </c>
      <c r="B208" s="9" t="s">
        <v>33</v>
      </c>
      <c r="C208" s="41">
        <f t="shared" si="37"/>
        <v>44234</v>
      </c>
      <c r="D208" s="10" t="s">
        <v>25</v>
      </c>
      <c r="E208" s="36" t="str">
        <f t="shared" si="34"/>
        <v>instagram_blogger</v>
      </c>
      <c r="F208" s="10" t="s">
        <v>20</v>
      </c>
      <c r="G208" s="11">
        <v>374754</v>
      </c>
      <c r="H208" s="11">
        <v>300700</v>
      </c>
      <c r="I208" s="12">
        <v>46167.6</v>
      </c>
      <c r="J208" s="40">
        <f t="shared" si="35"/>
        <v>0.01</v>
      </c>
      <c r="K208" s="11">
        <v>3007</v>
      </c>
      <c r="L208" s="6" t="b">
        <f t="shared" si="36"/>
        <v>0</v>
      </c>
      <c r="M208" s="11">
        <v>93</v>
      </c>
      <c r="N208" s="6" t="b">
        <f t="shared" si="38"/>
        <v>0</v>
      </c>
      <c r="O208" s="11">
        <v>12</v>
      </c>
      <c r="P208" s="6" t="b">
        <f t="shared" si="33"/>
        <v>0</v>
      </c>
      <c r="Q208" s="12">
        <v>68076</v>
      </c>
      <c r="R208" s="1">
        <f t="shared" si="39"/>
        <v>0</v>
      </c>
      <c r="S208" s="1">
        <f t="shared" si="40"/>
        <v>0</v>
      </c>
      <c r="T208" s="1">
        <f t="shared" si="41"/>
        <v>0</v>
      </c>
      <c r="U208" s="1">
        <f t="shared" si="42"/>
        <v>0</v>
      </c>
    </row>
    <row r="209" spans="1:21" ht="20" customHeight="1" x14ac:dyDescent="0.15">
      <c r="A209" s="8">
        <v>86</v>
      </c>
      <c r="B209" s="9" t="s">
        <v>34</v>
      </c>
      <c r="C209" s="41">
        <f t="shared" si="37"/>
        <v>44235</v>
      </c>
      <c r="D209" s="10" t="s">
        <v>24</v>
      </c>
      <c r="E209" s="36" t="str">
        <f t="shared" si="34"/>
        <v>facebook_lal</v>
      </c>
      <c r="F209" s="10" t="s">
        <v>14</v>
      </c>
      <c r="G209" s="11">
        <v>544756</v>
      </c>
      <c r="H209" s="11">
        <v>120200</v>
      </c>
      <c r="I209" s="12">
        <v>40099</v>
      </c>
      <c r="J209" s="40">
        <f t="shared" si="35"/>
        <v>0.01</v>
      </c>
      <c r="K209" s="11">
        <v>1202</v>
      </c>
      <c r="L209" s="6" t="b">
        <f t="shared" si="36"/>
        <v>0</v>
      </c>
      <c r="M209" s="11">
        <v>24</v>
      </c>
      <c r="N209" s="6" t="b">
        <f t="shared" si="38"/>
        <v>0</v>
      </c>
      <c r="O209" s="11">
        <v>5</v>
      </c>
      <c r="P209" s="6" t="b">
        <f t="shared" si="33"/>
        <v>0</v>
      </c>
      <c r="Q209" s="12">
        <v>4905</v>
      </c>
      <c r="R209" s="1">
        <f t="shared" si="39"/>
        <v>0</v>
      </c>
      <c r="S209" s="1">
        <f t="shared" si="40"/>
        <v>0</v>
      </c>
      <c r="T209" s="1">
        <f t="shared" si="41"/>
        <v>0</v>
      </c>
      <c r="U209" s="1">
        <f t="shared" si="42"/>
        <v>0</v>
      </c>
    </row>
    <row r="210" spans="1:21" ht="20" customHeight="1" x14ac:dyDescent="0.15">
      <c r="A210" s="8">
        <v>119</v>
      </c>
      <c r="B210" s="9" t="s">
        <v>37</v>
      </c>
      <c r="C210" s="41">
        <f t="shared" si="37"/>
        <v>44238</v>
      </c>
      <c r="D210" s="10" t="s">
        <v>24</v>
      </c>
      <c r="E210" s="36" t="str">
        <f t="shared" si="34"/>
        <v>facebook_lal</v>
      </c>
      <c r="F210" s="10" t="s">
        <v>14</v>
      </c>
      <c r="G210" s="11">
        <v>544756</v>
      </c>
      <c r="H210" s="11">
        <v>359500</v>
      </c>
      <c r="I210" s="13">
        <v>6171.15</v>
      </c>
      <c r="J210" s="40">
        <f t="shared" si="35"/>
        <v>0.01</v>
      </c>
      <c r="K210" s="11">
        <v>3595</v>
      </c>
      <c r="L210" s="6" t="b">
        <f t="shared" si="36"/>
        <v>0</v>
      </c>
      <c r="M210" s="11">
        <v>5</v>
      </c>
      <c r="N210" s="6" t="b">
        <f t="shared" si="38"/>
        <v>0</v>
      </c>
      <c r="O210" s="11">
        <v>1</v>
      </c>
      <c r="P210" s="6" t="b">
        <f t="shared" si="33"/>
        <v>0</v>
      </c>
      <c r="Q210" s="12">
        <v>677</v>
      </c>
      <c r="R210" s="1">
        <f t="shared" si="39"/>
        <v>0</v>
      </c>
      <c r="S210" s="1">
        <f t="shared" si="40"/>
        <v>0</v>
      </c>
      <c r="T210" s="1">
        <f t="shared" si="41"/>
        <v>0</v>
      </c>
      <c r="U210" s="1">
        <f t="shared" si="42"/>
        <v>0</v>
      </c>
    </row>
    <row r="211" spans="1:21" ht="20" customHeight="1" x14ac:dyDescent="0.15">
      <c r="A211" s="8">
        <v>120</v>
      </c>
      <c r="B211" s="9" t="s">
        <v>37</v>
      </c>
      <c r="C211" s="41">
        <f t="shared" si="37"/>
        <v>44238</v>
      </c>
      <c r="D211" s="10" t="s">
        <v>25</v>
      </c>
      <c r="E211" s="36" t="str">
        <f t="shared" si="34"/>
        <v>instagram_blogger</v>
      </c>
      <c r="F211" s="10" t="s">
        <v>20</v>
      </c>
      <c r="G211" s="11">
        <v>374754</v>
      </c>
      <c r="H211" s="11">
        <v>900400</v>
      </c>
      <c r="I211" s="12">
        <v>128751</v>
      </c>
      <c r="J211" s="40">
        <f t="shared" si="35"/>
        <v>0.01</v>
      </c>
      <c r="K211" s="11">
        <v>9004</v>
      </c>
      <c r="L211" s="6" t="b">
        <f t="shared" si="36"/>
        <v>0</v>
      </c>
      <c r="M211" s="11">
        <v>227</v>
      </c>
      <c r="N211" s="6" t="b">
        <f t="shared" si="38"/>
        <v>0</v>
      </c>
      <c r="O211" s="11">
        <v>29</v>
      </c>
      <c r="P211" s="6" t="b">
        <f t="shared" si="33"/>
        <v>0</v>
      </c>
      <c r="Q211" s="12">
        <v>143869</v>
      </c>
      <c r="R211" s="1">
        <f t="shared" si="39"/>
        <v>0</v>
      </c>
      <c r="S211" s="1">
        <f t="shared" si="40"/>
        <v>0</v>
      </c>
      <c r="T211" s="1">
        <f t="shared" si="41"/>
        <v>0</v>
      </c>
      <c r="U211" s="1">
        <f t="shared" si="42"/>
        <v>0</v>
      </c>
    </row>
    <row r="212" spans="1:21" ht="20" customHeight="1" x14ac:dyDescent="0.15">
      <c r="A212" s="8">
        <v>130</v>
      </c>
      <c r="B212" s="9" t="s">
        <v>38</v>
      </c>
      <c r="C212" s="41">
        <f t="shared" si="37"/>
        <v>44239</v>
      </c>
      <c r="D212" s="10" t="s">
        <v>24</v>
      </c>
      <c r="E212" s="36" t="str">
        <f t="shared" si="34"/>
        <v>facebook_lal</v>
      </c>
      <c r="F212" s="10" t="s">
        <v>14</v>
      </c>
      <c r="G212" s="11">
        <v>544756</v>
      </c>
      <c r="H212" s="11">
        <v>480000</v>
      </c>
      <c r="I212" s="12">
        <v>44580.9</v>
      </c>
      <c r="J212" s="40">
        <f t="shared" si="35"/>
        <v>0.01</v>
      </c>
      <c r="K212" s="11">
        <v>4800</v>
      </c>
      <c r="L212" s="6" t="b">
        <f t="shared" si="36"/>
        <v>0</v>
      </c>
      <c r="M212" s="11">
        <v>33</v>
      </c>
      <c r="N212" s="6" t="b">
        <f t="shared" si="38"/>
        <v>0</v>
      </c>
      <c r="O212" s="11">
        <v>5</v>
      </c>
      <c r="P212" s="6" t="b">
        <f t="shared" si="33"/>
        <v>0</v>
      </c>
      <c r="Q212" s="12">
        <v>6945</v>
      </c>
      <c r="R212" s="1">
        <f t="shared" si="39"/>
        <v>0</v>
      </c>
      <c r="S212" s="1">
        <f t="shared" si="40"/>
        <v>0</v>
      </c>
      <c r="T212" s="1">
        <f t="shared" si="41"/>
        <v>0</v>
      </c>
      <c r="U212" s="1">
        <f t="shared" si="42"/>
        <v>0</v>
      </c>
    </row>
    <row r="213" spans="1:21" ht="20" customHeight="1" x14ac:dyDescent="0.15">
      <c r="A213" s="8">
        <v>131</v>
      </c>
      <c r="B213" s="9" t="s">
        <v>38</v>
      </c>
      <c r="C213" s="41">
        <f t="shared" si="37"/>
        <v>44239</v>
      </c>
      <c r="D213" s="10" t="s">
        <v>25</v>
      </c>
      <c r="E213" s="36" t="str">
        <f t="shared" si="34"/>
        <v>instagram_blogger</v>
      </c>
      <c r="F213" s="10" t="s">
        <v>20</v>
      </c>
      <c r="G213" s="11">
        <v>374754</v>
      </c>
      <c r="H213" s="11">
        <v>1200300</v>
      </c>
      <c r="I213" s="12">
        <v>308572</v>
      </c>
      <c r="J213" s="40">
        <f t="shared" si="35"/>
        <v>0.01</v>
      </c>
      <c r="K213" s="11">
        <v>12003</v>
      </c>
      <c r="L213" s="6" t="b">
        <f t="shared" si="36"/>
        <v>0</v>
      </c>
      <c r="M213" s="11">
        <v>412</v>
      </c>
      <c r="N213" s="6" t="b">
        <f t="shared" si="38"/>
        <v>0</v>
      </c>
      <c r="O213" s="11">
        <v>79</v>
      </c>
      <c r="P213" s="6" t="b">
        <f t="shared" si="33"/>
        <v>0</v>
      </c>
      <c r="Q213" s="12">
        <v>393499</v>
      </c>
      <c r="R213" s="1">
        <f t="shared" si="39"/>
        <v>0</v>
      </c>
      <c r="S213" s="1">
        <f t="shared" si="40"/>
        <v>0</v>
      </c>
      <c r="T213" s="1">
        <f t="shared" si="41"/>
        <v>0</v>
      </c>
      <c r="U213" s="1">
        <f t="shared" si="42"/>
        <v>0</v>
      </c>
    </row>
    <row r="214" spans="1:21" ht="20" customHeight="1" x14ac:dyDescent="0.15">
      <c r="A214" s="8">
        <v>137</v>
      </c>
      <c r="B214" s="9" t="s">
        <v>39</v>
      </c>
      <c r="C214" s="41">
        <f t="shared" si="37"/>
        <v>44240</v>
      </c>
      <c r="D214" s="10" t="s">
        <v>19</v>
      </c>
      <c r="E214" s="36" t="str">
        <f t="shared" si="34"/>
        <v>youtube_blogger</v>
      </c>
      <c r="F214" s="10" t="s">
        <v>20</v>
      </c>
      <c r="G214" s="11">
        <v>10934</v>
      </c>
      <c r="H214" s="11">
        <v>2250900</v>
      </c>
      <c r="I214" s="12">
        <v>205045</v>
      </c>
      <c r="J214" s="40">
        <f t="shared" si="35"/>
        <v>0.01</v>
      </c>
      <c r="K214" s="11">
        <v>22509</v>
      </c>
      <c r="L214" s="6" t="b">
        <f t="shared" si="36"/>
        <v>0</v>
      </c>
      <c r="M214" s="11">
        <v>790</v>
      </c>
      <c r="N214" s="6" t="b">
        <f t="shared" si="38"/>
        <v>0</v>
      </c>
      <c r="O214" s="11">
        <v>158</v>
      </c>
      <c r="P214" s="6" t="b">
        <f t="shared" ref="P214:P250" si="43">(O213)&gt;(M213)</f>
        <v>0</v>
      </c>
      <c r="Q214" s="12">
        <v>1296550</v>
      </c>
      <c r="R214" s="1">
        <f t="shared" si="39"/>
        <v>0</v>
      </c>
      <c r="S214" s="1">
        <f t="shared" si="40"/>
        <v>0</v>
      </c>
      <c r="T214" s="1">
        <f t="shared" si="41"/>
        <v>0</v>
      </c>
      <c r="U214" s="1">
        <f t="shared" si="42"/>
        <v>0</v>
      </c>
    </row>
    <row r="215" spans="1:21" ht="20" customHeight="1" x14ac:dyDescent="0.15">
      <c r="A215" s="8">
        <v>142</v>
      </c>
      <c r="B215" s="9" t="s">
        <v>39</v>
      </c>
      <c r="C215" s="41">
        <f t="shared" si="37"/>
        <v>44240</v>
      </c>
      <c r="D215" s="10" t="s">
        <v>25</v>
      </c>
      <c r="E215" s="36" t="str">
        <f t="shared" si="34"/>
        <v>instagram_blogger</v>
      </c>
      <c r="F215" s="10" t="s">
        <v>20</v>
      </c>
      <c r="G215" s="11">
        <v>374754</v>
      </c>
      <c r="H215" s="11">
        <v>1499200</v>
      </c>
      <c r="I215" s="12">
        <v>32770.1</v>
      </c>
      <c r="J215" s="40">
        <f t="shared" si="35"/>
        <v>0.01</v>
      </c>
      <c r="K215" s="11">
        <v>14992</v>
      </c>
      <c r="L215" s="6" t="b">
        <f t="shared" si="36"/>
        <v>0</v>
      </c>
      <c r="M215" s="11">
        <v>50</v>
      </c>
      <c r="N215" s="6" t="b">
        <f t="shared" si="38"/>
        <v>0</v>
      </c>
      <c r="O215" s="11">
        <v>8</v>
      </c>
      <c r="P215" s="6" t="b">
        <f t="shared" si="43"/>
        <v>0</v>
      </c>
      <c r="Q215" s="12">
        <v>43976</v>
      </c>
      <c r="R215" s="1">
        <f t="shared" si="39"/>
        <v>0</v>
      </c>
      <c r="S215" s="1">
        <f t="shared" si="40"/>
        <v>0</v>
      </c>
      <c r="T215" s="1">
        <f t="shared" si="41"/>
        <v>0</v>
      </c>
      <c r="U215" s="1">
        <f t="shared" si="42"/>
        <v>0</v>
      </c>
    </row>
    <row r="216" spans="1:21" ht="20" customHeight="1" x14ac:dyDescent="0.15">
      <c r="A216" s="8">
        <v>164</v>
      </c>
      <c r="B216" s="9" t="s">
        <v>41</v>
      </c>
      <c r="C216" s="41">
        <f t="shared" si="37"/>
        <v>44242</v>
      </c>
      <c r="D216" s="10" t="s">
        <v>25</v>
      </c>
      <c r="E216" s="36" t="str">
        <f t="shared" si="34"/>
        <v>instagram_blogger</v>
      </c>
      <c r="F216" s="10" t="s">
        <v>20</v>
      </c>
      <c r="G216" s="11">
        <v>374754</v>
      </c>
      <c r="H216" s="11">
        <v>2100700</v>
      </c>
      <c r="I216" s="12">
        <v>82452</v>
      </c>
      <c r="J216" s="40">
        <f t="shared" si="35"/>
        <v>0.01</v>
      </c>
      <c r="K216" s="11">
        <v>21007</v>
      </c>
      <c r="L216" s="6" t="b">
        <f t="shared" si="36"/>
        <v>0</v>
      </c>
      <c r="M216" s="11">
        <v>122</v>
      </c>
      <c r="N216" s="6" t="b">
        <f t="shared" si="38"/>
        <v>0</v>
      </c>
      <c r="O216" s="11">
        <v>24</v>
      </c>
      <c r="P216" s="6" t="b">
        <f t="shared" si="43"/>
        <v>0</v>
      </c>
      <c r="Q216" s="12">
        <v>103392</v>
      </c>
      <c r="R216" s="1">
        <f t="shared" si="39"/>
        <v>0</v>
      </c>
      <c r="S216" s="1">
        <f t="shared" si="40"/>
        <v>0</v>
      </c>
      <c r="T216" s="1">
        <f t="shared" si="41"/>
        <v>0</v>
      </c>
      <c r="U216" s="1">
        <f t="shared" si="42"/>
        <v>0</v>
      </c>
    </row>
    <row r="217" spans="1:21" ht="20" customHeight="1" x14ac:dyDescent="0.15">
      <c r="A217" s="8">
        <v>181</v>
      </c>
      <c r="B217" s="9" t="s">
        <v>43</v>
      </c>
      <c r="C217" s="41">
        <f t="shared" si="37"/>
        <v>44244</v>
      </c>
      <c r="D217" s="10" t="s">
        <v>19</v>
      </c>
      <c r="E217" s="36" t="str">
        <f t="shared" si="34"/>
        <v>youtube_blogger</v>
      </c>
      <c r="F217" s="10" t="s">
        <v>20</v>
      </c>
      <c r="G217" s="11">
        <v>10934</v>
      </c>
      <c r="H217" s="11">
        <v>4049400</v>
      </c>
      <c r="I217" s="12">
        <v>363811</v>
      </c>
      <c r="J217" s="40">
        <f t="shared" si="35"/>
        <v>0.01</v>
      </c>
      <c r="K217" s="11">
        <v>40494</v>
      </c>
      <c r="L217" s="6" t="b">
        <f t="shared" si="36"/>
        <v>0</v>
      </c>
      <c r="M217" s="11">
        <v>746</v>
      </c>
      <c r="N217" s="6" t="b">
        <f t="shared" si="38"/>
        <v>0</v>
      </c>
      <c r="O217" s="11">
        <v>149</v>
      </c>
      <c r="P217" s="6" t="b">
        <f t="shared" si="43"/>
        <v>0</v>
      </c>
      <c r="Q217" s="12">
        <v>1189170</v>
      </c>
      <c r="R217" s="1">
        <f t="shared" si="39"/>
        <v>0</v>
      </c>
      <c r="S217" s="1">
        <f t="shared" si="40"/>
        <v>0</v>
      </c>
      <c r="T217" s="1">
        <f t="shared" si="41"/>
        <v>0</v>
      </c>
      <c r="U217" s="1">
        <f t="shared" si="42"/>
        <v>0</v>
      </c>
    </row>
    <row r="218" spans="1:21" ht="20" customHeight="1" x14ac:dyDescent="0.15">
      <c r="A218" s="8">
        <v>207</v>
      </c>
      <c r="B218" s="9" t="s">
        <v>45</v>
      </c>
      <c r="C218" s="41">
        <f t="shared" si="37"/>
        <v>44246</v>
      </c>
      <c r="D218" s="10" t="s">
        <v>24</v>
      </c>
      <c r="E218" s="36" t="str">
        <f t="shared" si="34"/>
        <v>facebook_lal</v>
      </c>
      <c r="F218" s="10" t="s">
        <v>14</v>
      </c>
      <c r="G218" s="11">
        <v>544756</v>
      </c>
      <c r="H218" s="11">
        <v>1320200</v>
      </c>
      <c r="I218" s="12">
        <v>440355</v>
      </c>
      <c r="J218" s="40">
        <f t="shared" si="35"/>
        <v>0.01</v>
      </c>
      <c r="K218" s="11">
        <v>13202</v>
      </c>
      <c r="L218" s="6" t="b">
        <f t="shared" si="36"/>
        <v>0</v>
      </c>
      <c r="M218" s="11">
        <v>264</v>
      </c>
      <c r="N218" s="6" t="b">
        <f t="shared" si="38"/>
        <v>0</v>
      </c>
      <c r="O218" s="11">
        <v>45</v>
      </c>
      <c r="P218" s="6" t="b">
        <f t="shared" si="43"/>
        <v>0</v>
      </c>
      <c r="Q218" s="12">
        <v>80325</v>
      </c>
      <c r="R218" s="1">
        <f t="shared" si="39"/>
        <v>0</v>
      </c>
      <c r="S218" s="1">
        <f t="shared" si="40"/>
        <v>0</v>
      </c>
      <c r="T218" s="1">
        <f t="shared" si="41"/>
        <v>0</v>
      </c>
      <c r="U218" s="1">
        <f t="shared" si="42"/>
        <v>0</v>
      </c>
    </row>
    <row r="219" spans="1:21" ht="20" customHeight="1" x14ac:dyDescent="0.15">
      <c r="A219" s="8">
        <v>208</v>
      </c>
      <c r="B219" s="9" t="s">
        <v>45</v>
      </c>
      <c r="C219" s="41">
        <f t="shared" si="37"/>
        <v>44246</v>
      </c>
      <c r="D219" s="10" t="s">
        <v>25</v>
      </c>
      <c r="E219" s="36" t="str">
        <f t="shared" si="34"/>
        <v>instagram_blogger</v>
      </c>
      <c r="F219" s="10" t="s">
        <v>20</v>
      </c>
      <c r="G219" s="11">
        <v>374754</v>
      </c>
      <c r="H219" s="11">
        <v>3299900</v>
      </c>
      <c r="I219" s="12">
        <v>404285</v>
      </c>
      <c r="J219" s="40">
        <f t="shared" si="35"/>
        <v>0.01</v>
      </c>
      <c r="K219" s="11">
        <v>32999</v>
      </c>
      <c r="L219" s="6" t="b">
        <f t="shared" si="36"/>
        <v>0</v>
      </c>
      <c r="M219" s="11">
        <v>694</v>
      </c>
      <c r="N219" s="6" t="b">
        <f t="shared" si="38"/>
        <v>0</v>
      </c>
      <c r="O219" s="11">
        <v>104</v>
      </c>
      <c r="P219" s="6" t="b">
        <f t="shared" si="43"/>
        <v>0</v>
      </c>
      <c r="Q219" s="12">
        <v>519272</v>
      </c>
      <c r="R219" s="1">
        <f t="shared" si="39"/>
        <v>0</v>
      </c>
      <c r="S219" s="1">
        <f t="shared" si="40"/>
        <v>0</v>
      </c>
      <c r="T219" s="1">
        <f t="shared" si="41"/>
        <v>0</v>
      </c>
      <c r="U219" s="1">
        <f t="shared" si="42"/>
        <v>0</v>
      </c>
    </row>
    <row r="220" spans="1:21" ht="20" customHeight="1" x14ac:dyDescent="0.15">
      <c r="A220" s="8">
        <v>214</v>
      </c>
      <c r="B220" s="9" t="s">
        <v>46</v>
      </c>
      <c r="C220" s="41">
        <f t="shared" si="37"/>
        <v>44247</v>
      </c>
      <c r="D220" s="10" t="s">
        <v>19</v>
      </c>
      <c r="E220" s="36" t="str">
        <f t="shared" si="34"/>
        <v>youtube_blogger</v>
      </c>
      <c r="F220" s="10" t="s">
        <v>20</v>
      </c>
      <c r="G220" s="11">
        <v>10934</v>
      </c>
      <c r="H220" s="11">
        <v>5399300</v>
      </c>
      <c r="I220" s="12">
        <v>303860</v>
      </c>
      <c r="J220" s="40">
        <f t="shared" si="35"/>
        <v>0.01</v>
      </c>
      <c r="K220" s="11">
        <v>53993</v>
      </c>
      <c r="L220" s="6" t="b">
        <f t="shared" si="36"/>
        <v>0</v>
      </c>
      <c r="M220" s="11">
        <v>1094</v>
      </c>
      <c r="N220" s="6" t="b">
        <f t="shared" si="38"/>
        <v>0</v>
      </c>
      <c r="O220" s="11">
        <v>182</v>
      </c>
      <c r="P220" s="6" t="b">
        <f t="shared" si="43"/>
        <v>0</v>
      </c>
      <c r="Q220" s="12">
        <v>1452540</v>
      </c>
      <c r="R220" s="1">
        <f t="shared" si="39"/>
        <v>0</v>
      </c>
      <c r="S220" s="1">
        <f t="shared" si="40"/>
        <v>0</v>
      </c>
      <c r="T220" s="1">
        <f t="shared" si="41"/>
        <v>0</v>
      </c>
      <c r="U220" s="1">
        <f t="shared" si="42"/>
        <v>0</v>
      </c>
    </row>
    <row r="221" spans="1:21" ht="20" customHeight="1" x14ac:dyDescent="0.15">
      <c r="A221" s="8">
        <v>229</v>
      </c>
      <c r="B221" s="9" t="s">
        <v>47</v>
      </c>
      <c r="C221" s="41">
        <f t="shared" si="37"/>
        <v>44248</v>
      </c>
      <c r="D221" s="10" t="s">
        <v>24</v>
      </c>
      <c r="E221" s="36" t="str">
        <f t="shared" si="34"/>
        <v>facebook_lal</v>
      </c>
      <c r="F221" s="10" t="s">
        <v>14</v>
      </c>
      <c r="G221" s="11">
        <v>544756</v>
      </c>
      <c r="H221" s="11">
        <v>119400</v>
      </c>
      <c r="I221" s="12">
        <v>32169.9</v>
      </c>
      <c r="J221" s="40">
        <f t="shared" si="35"/>
        <v>0.01</v>
      </c>
      <c r="K221" s="11">
        <v>1194</v>
      </c>
      <c r="L221" s="6" t="b">
        <f t="shared" si="36"/>
        <v>0</v>
      </c>
      <c r="M221" s="11">
        <v>24</v>
      </c>
      <c r="N221" s="6" t="b">
        <f t="shared" si="38"/>
        <v>0</v>
      </c>
      <c r="O221" s="11">
        <v>4</v>
      </c>
      <c r="P221" s="6" t="b">
        <f t="shared" si="43"/>
        <v>0</v>
      </c>
      <c r="Q221" s="12">
        <v>3924</v>
      </c>
      <c r="R221" s="1">
        <f t="shared" si="39"/>
        <v>0</v>
      </c>
      <c r="S221" s="1">
        <f t="shared" si="40"/>
        <v>0</v>
      </c>
      <c r="T221" s="1">
        <f t="shared" si="41"/>
        <v>0</v>
      </c>
      <c r="U221" s="1">
        <f t="shared" si="42"/>
        <v>0</v>
      </c>
    </row>
    <row r="222" spans="1:21" ht="20" customHeight="1" x14ac:dyDescent="0.15">
      <c r="A222" s="8">
        <v>230</v>
      </c>
      <c r="B222" s="9" t="s">
        <v>47</v>
      </c>
      <c r="C222" s="41">
        <f t="shared" si="37"/>
        <v>44248</v>
      </c>
      <c r="D222" s="10" t="s">
        <v>25</v>
      </c>
      <c r="E222" s="36" t="str">
        <f t="shared" si="34"/>
        <v>instagram_blogger</v>
      </c>
      <c r="F222" s="10" t="s">
        <v>20</v>
      </c>
      <c r="G222" s="11">
        <v>374754</v>
      </c>
      <c r="H222" s="11">
        <v>300900</v>
      </c>
      <c r="I222" s="12">
        <v>65006.3</v>
      </c>
      <c r="J222" s="40">
        <f t="shared" si="35"/>
        <v>0.01</v>
      </c>
      <c r="K222" s="11">
        <v>3009</v>
      </c>
      <c r="L222" s="6" t="b">
        <f t="shared" si="36"/>
        <v>0</v>
      </c>
      <c r="M222" s="11">
        <v>89</v>
      </c>
      <c r="N222" s="6" t="b">
        <f t="shared" si="38"/>
        <v>0</v>
      </c>
      <c r="O222" s="11">
        <v>17</v>
      </c>
      <c r="P222" s="6" t="b">
        <f t="shared" si="43"/>
        <v>0</v>
      </c>
      <c r="Q222" s="12">
        <v>84677</v>
      </c>
      <c r="R222" s="1">
        <f t="shared" si="39"/>
        <v>0</v>
      </c>
      <c r="S222" s="1">
        <f t="shared" si="40"/>
        <v>0</v>
      </c>
      <c r="T222" s="1">
        <f t="shared" si="41"/>
        <v>0</v>
      </c>
      <c r="U222" s="1">
        <f t="shared" si="42"/>
        <v>0</v>
      </c>
    </row>
    <row r="223" spans="1:21" ht="20" customHeight="1" x14ac:dyDescent="0.15">
      <c r="A223" s="8">
        <v>240</v>
      </c>
      <c r="B223" s="9" t="s">
        <v>48</v>
      </c>
      <c r="C223" s="41">
        <f t="shared" si="37"/>
        <v>44249</v>
      </c>
      <c r="D223" s="10" t="s">
        <v>24</v>
      </c>
      <c r="E223" s="36" t="str">
        <f t="shared" si="34"/>
        <v>facebook_lal</v>
      </c>
      <c r="F223" s="10" t="s">
        <v>14</v>
      </c>
      <c r="G223" s="11">
        <v>544756</v>
      </c>
      <c r="H223" s="11">
        <v>239600</v>
      </c>
      <c r="I223" s="12">
        <v>51783.3</v>
      </c>
      <c r="J223" s="40">
        <f t="shared" si="35"/>
        <v>0.01</v>
      </c>
      <c r="K223" s="11">
        <v>2396</v>
      </c>
      <c r="L223" s="6" t="b">
        <f t="shared" si="36"/>
        <v>0</v>
      </c>
      <c r="M223" s="11">
        <v>48</v>
      </c>
      <c r="N223" s="6" t="b">
        <f t="shared" si="38"/>
        <v>0</v>
      </c>
      <c r="O223" s="11">
        <v>6</v>
      </c>
      <c r="P223" s="6" t="b">
        <f t="shared" si="43"/>
        <v>0</v>
      </c>
      <c r="Q223" s="12">
        <v>5886</v>
      </c>
      <c r="R223" s="1">
        <f t="shared" si="39"/>
        <v>0</v>
      </c>
      <c r="S223" s="1">
        <f t="shared" si="40"/>
        <v>0</v>
      </c>
      <c r="T223" s="1">
        <f t="shared" si="41"/>
        <v>0</v>
      </c>
      <c r="U223" s="1">
        <f t="shared" si="42"/>
        <v>0</v>
      </c>
    </row>
    <row r="224" spans="1:21" ht="20" customHeight="1" x14ac:dyDescent="0.15">
      <c r="A224" s="8">
        <v>241</v>
      </c>
      <c r="B224" s="9" t="s">
        <v>48</v>
      </c>
      <c r="C224" s="41">
        <f t="shared" si="37"/>
        <v>44249</v>
      </c>
      <c r="D224" s="10" t="s">
        <v>25</v>
      </c>
      <c r="E224" s="36" t="str">
        <f t="shared" si="34"/>
        <v>instagram_blogger</v>
      </c>
      <c r="F224" s="10" t="s">
        <v>20</v>
      </c>
      <c r="G224" s="11">
        <v>374754</v>
      </c>
      <c r="H224" s="11">
        <v>599700</v>
      </c>
      <c r="I224" s="12">
        <v>137382</v>
      </c>
      <c r="J224" s="40">
        <f t="shared" si="35"/>
        <v>0.01</v>
      </c>
      <c r="K224" s="11">
        <v>5997</v>
      </c>
      <c r="L224" s="6" t="b">
        <f t="shared" si="36"/>
        <v>0</v>
      </c>
      <c r="M224" s="11">
        <v>236</v>
      </c>
      <c r="N224" s="6" t="b">
        <f t="shared" si="38"/>
        <v>0</v>
      </c>
      <c r="O224" s="11">
        <v>35</v>
      </c>
      <c r="P224" s="6" t="b">
        <f t="shared" si="43"/>
        <v>0</v>
      </c>
      <c r="Q224" s="12">
        <v>158340</v>
      </c>
      <c r="R224" s="1">
        <f t="shared" si="39"/>
        <v>0</v>
      </c>
      <c r="S224" s="1">
        <f t="shared" si="40"/>
        <v>0</v>
      </c>
      <c r="T224" s="1">
        <f t="shared" si="41"/>
        <v>0</v>
      </c>
      <c r="U224" s="1">
        <f t="shared" si="42"/>
        <v>0</v>
      </c>
    </row>
    <row r="225" spans="1:21" ht="20" customHeight="1" x14ac:dyDescent="0.15">
      <c r="A225" s="8">
        <v>251</v>
      </c>
      <c r="B225" s="9" t="s">
        <v>49</v>
      </c>
      <c r="C225" s="41">
        <f t="shared" si="37"/>
        <v>44250</v>
      </c>
      <c r="D225" s="10" t="s">
        <v>24</v>
      </c>
      <c r="E225" s="36" t="str">
        <f t="shared" si="34"/>
        <v>facebook_lal</v>
      </c>
      <c r="F225" s="10" t="s">
        <v>14</v>
      </c>
      <c r="G225" s="11">
        <v>544756</v>
      </c>
      <c r="H225" s="11">
        <v>60800</v>
      </c>
      <c r="I225" s="12">
        <v>16078.6</v>
      </c>
      <c r="J225" s="40">
        <f t="shared" si="35"/>
        <v>0.01</v>
      </c>
      <c r="K225" s="11">
        <v>608</v>
      </c>
      <c r="L225" s="6" t="b">
        <f t="shared" si="36"/>
        <v>0</v>
      </c>
      <c r="M225" s="11">
        <v>12</v>
      </c>
      <c r="N225" s="6" t="b">
        <f t="shared" si="38"/>
        <v>0</v>
      </c>
      <c r="O225" s="11">
        <v>2</v>
      </c>
      <c r="P225" s="6" t="b">
        <f t="shared" si="43"/>
        <v>0</v>
      </c>
      <c r="Q225" s="12">
        <v>2720</v>
      </c>
      <c r="R225" s="1">
        <f t="shared" si="39"/>
        <v>0</v>
      </c>
      <c r="S225" s="1">
        <f t="shared" si="40"/>
        <v>0</v>
      </c>
      <c r="T225" s="1">
        <f t="shared" si="41"/>
        <v>0</v>
      </c>
      <c r="U225" s="1">
        <f t="shared" si="42"/>
        <v>0</v>
      </c>
    </row>
    <row r="226" spans="1:21" ht="20" customHeight="1" x14ac:dyDescent="0.15">
      <c r="A226" s="8">
        <v>273</v>
      </c>
      <c r="B226" s="9" t="s">
        <v>51</v>
      </c>
      <c r="C226" s="41">
        <f t="shared" si="37"/>
        <v>44252</v>
      </c>
      <c r="D226" s="10" t="s">
        <v>24</v>
      </c>
      <c r="E226" s="36" t="str">
        <f t="shared" si="34"/>
        <v>facebook_lal</v>
      </c>
      <c r="F226" s="10" t="s">
        <v>14</v>
      </c>
      <c r="G226" s="11">
        <v>544756</v>
      </c>
      <c r="H226" s="11">
        <v>25000</v>
      </c>
      <c r="I226" s="13">
        <v>5871.29</v>
      </c>
      <c r="J226" s="40">
        <f t="shared" si="35"/>
        <v>0.01</v>
      </c>
      <c r="K226" s="11">
        <v>250</v>
      </c>
      <c r="L226" s="6" t="b">
        <f t="shared" si="36"/>
        <v>0</v>
      </c>
      <c r="M226" s="11">
        <v>5</v>
      </c>
      <c r="N226" s="6" t="b">
        <f t="shared" si="38"/>
        <v>0</v>
      </c>
      <c r="O226" s="11">
        <v>1</v>
      </c>
      <c r="P226" s="6" t="b">
        <f t="shared" si="43"/>
        <v>0</v>
      </c>
      <c r="Q226" s="12">
        <v>981</v>
      </c>
      <c r="R226" s="1">
        <f t="shared" si="39"/>
        <v>0</v>
      </c>
      <c r="S226" s="1">
        <f t="shared" si="40"/>
        <v>0</v>
      </c>
      <c r="T226" s="1">
        <f t="shared" si="41"/>
        <v>0</v>
      </c>
      <c r="U226" s="1">
        <f t="shared" si="42"/>
        <v>0</v>
      </c>
    </row>
    <row r="227" spans="1:21" ht="20" customHeight="1" x14ac:dyDescent="0.15">
      <c r="A227" s="8">
        <v>291</v>
      </c>
      <c r="B227" s="9" t="s">
        <v>53</v>
      </c>
      <c r="C227" s="41">
        <f t="shared" si="37"/>
        <v>44254</v>
      </c>
      <c r="D227" s="10" t="s">
        <v>19</v>
      </c>
      <c r="E227" s="36" t="str">
        <f t="shared" si="34"/>
        <v>youtube_blogger</v>
      </c>
      <c r="F227" s="10" t="s">
        <v>20</v>
      </c>
      <c r="G227" s="11">
        <v>10934</v>
      </c>
      <c r="H227" s="11">
        <v>44000</v>
      </c>
      <c r="I227" s="13">
        <v>5721.83</v>
      </c>
      <c r="J227" s="40">
        <f t="shared" si="35"/>
        <v>0.01</v>
      </c>
      <c r="K227" s="11">
        <v>440</v>
      </c>
      <c r="L227" s="6" t="b">
        <f t="shared" si="36"/>
        <v>0</v>
      </c>
      <c r="M227" s="11">
        <v>15</v>
      </c>
      <c r="N227" s="6" t="b">
        <f t="shared" si="38"/>
        <v>0</v>
      </c>
      <c r="O227" s="11">
        <v>3</v>
      </c>
      <c r="P227" s="6" t="b">
        <f t="shared" si="43"/>
        <v>0</v>
      </c>
      <c r="Q227" s="12">
        <v>23943</v>
      </c>
      <c r="R227" s="1">
        <f t="shared" si="39"/>
        <v>0</v>
      </c>
      <c r="S227" s="1">
        <f t="shared" si="40"/>
        <v>0</v>
      </c>
      <c r="T227" s="1">
        <f t="shared" si="41"/>
        <v>0</v>
      </c>
      <c r="U227" s="1">
        <f t="shared" si="42"/>
        <v>0</v>
      </c>
    </row>
    <row r="228" spans="1:21" ht="20" customHeight="1" x14ac:dyDescent="0.15">
      <c r="A228" s="8">
        <v>196</v>
      </c>
      <c r="B228" s="9" t="s">
        <v>44</v>
      </c>
      <c r="C228" s="41">
        <f t="shared" si="37"/>
        <v>44245</v>
      </c>
      <c r="D228" s="10" t="s">
        <v>24</v>
      </c>
      <c r="E228" s="36" t="str">
        <f t="shared" si="34"/>
        <v>facebook_lal</v>
      </c>
      <c r="F228" s="10" t="s">
        <v>14</v>
      </c>
      <c r="G228" s="11">
        <v>544756</v>
      </c>
      <c r="H228" s="11">
        <v>1181224</v>
      </c>
      <c r="I228" s="12">
        <v>171831</v>
      </c>
      <c r="J228" s="40">
        <f t="shared" si="35"/>
        <v>1.0151334547892694E-2</v>
      </c>
      <c r="K228" s="11">
        <v>11991</v>
      </c>
      <c r="L228" s="6" t="b">
        <f t="shared" si="36"/>
        <v>0</v>
      </c>
      <c r="M228" s="11">
        <v>128</v>
      </c>
      <c r="N228" s="6" t="b">
        <f t="shared" si="38"/>
        <v>0</v>
      </c>
      <c r="O228" s="11">
        <v>19</v>
      </c>
      <c r="P228" s="6" t="b">
        <f t="shared" si="43"/>
        <v>0</v>
      </c>
      <c r="Q228" s="12">
        <v>17917</v>
      </c>
      <c r="R228" s="1">
        <f t="shared" si="39"/>
        <v>0</v>
      </c>
      <c r="S228" s="1">
        <f t="shared" si="40"/>
        <v>0</v>
      </c>
      <c r="T228" s="1">
        <f t="shared" si="41"/>
        <v>0</v>
      </c>
      <c r="U228" s="1">
        <f t="shared" si="42"/>
        <v>0</v>
      </c>
    </row>
    <row r="229" spans="1:21" ht="20" customHeight="1" x14ac:dyDescent="0.15">
      <c r="A229" s="8">
        <v>9</v>
      </c>
      <c r="B229" s="9" t="s">
        <v>12</v>
      </c>
      <c r="C229" s="41">
        <f t="shared" si="37"/>
        <v>44228</v>
      </c>
      <c r="D229" s="10" t="s">
        <v>24</v>
      </c>
      <c r="E229" s="36" t="str">
        <f t="shared" si="34"/>
        <v>facebook_lal</v>
      </c>
      <c r="F229" s="10" t="s">
        <v>14</v>
      </c>
      <c r="G229" s="11">
        <v>544756</v>
      </c>
      <c r="H229" s="11">
        <v>56916</v>
      </c>
      <c r="I229" s="12">
        <v>16997.8</v>
      </c>
      <c r="J229" s="40">
        <f t="shared" si="35"/>
        <v>1.0471572141401363E-2</v>
      </c>
      <c r="K229" s="11">
        <v>596</v>
      </c>
      <c r="L229" s="6" t="b">
        <f t="shared" si="36"/>
        <v>0</v>
      </c>
      <c r="M229" s="11">
        <v>14</v>
      </c>
      <c r="N229" s="6" t="b">
        <f t="shared" si="38"/>
        <v>0</v>
      </c>
      <c r="O229" s="11">
        <v>2</v>
      </c>
      <c r="P229" s="6" t="b">
        <f t="shared" si="43"/>
        <v>0</v>
      </c>
      <c r="Q229" s="12">
        <v>4162</v>
      </c>
      <c r="R229" s="1">
        <f t="shared" si="39"/>
        <v>0</v>
      </c>
      <c r="S229" s="1">
        <f t="shared" si="40"/>
        <v>0</v>
      </c>
      <c r="T229" s="1">
        <f t="shared" si="41"/>
        <v>0</v>
      </c>
      <c r="U229" s="1">
        <f t="shared" si="42"/>
        <v>0</v>
      </c>
    </row>
    <row r="230" spans="1:21" ht="20" customHeight="1" x14ac:dyDescent="0.15">
      <c r="A230" s="8">
        <v>148</v>
      </c>
      <c r="B230" s="9" t="s">
        <v>40</v>
      </c>
      <c r="C230" s="41">
        <f t="shared" si="37"/>
        <v>44241</v>
      </c>
      <c r="D230" s="10" t="s">
        <v>19</v>
      </c>
      <c r="E230" s="36" t="str">
        <f t="shared" si="34"/>
        <v>youtube_blogger</v>
      </c>
      <c r="F230" s="10" t="s">
        <v>20</v>
      </c>
      <c r="G230" s="11">
        <v>10934</v>
      </c>
      <c r="H230" s="11">
        <v>2511956</v>
      </c>
      <c r="I230" s="12">
        <v>231751</v>
      </c>
      <c r="J230" s="40">
        <f t="shared" si="35"/>
        <v>1.0745809241881626E-2</v>
      </c>
      <c r="K230" s="11">
        <v>26993</v>
      </c>
      <c r="L230" s="6" t="b">
        <f t="shared" si="36"/>
        <v>0</v>
      </c>
      <c r="M230" s="11">
        <v>540</v>
      </c>
      <c r="N230" s="6" t="b">
        <f t="shared" si="38"/>
        <v>0</v>
      </c>
      <c r="O230" s="11">
        <v>85</v>
      </c>
      <c r="P230" s="6" t="b">
        <f t="shared" si="43"/>
        <v>0</v>
      </c>
      <c r="Q230" s="12">
        <v>733550</v>
      </c>
      <c r="R230" s="1">
        <f t="shared" si="39"/>
        <v>0</v>
      </c>
      <c r="S230" s="1">
        <f t="shared" si="40"/>
        <v>0</v>
      </c>
      <c r="T230" s="1">
        <f t="shared" si="41"/>
        <v>0</v>
      </c>
      <c r="U230" s="1">
        <f t="shared" si="42"/>
        <v>0</v>
      </c>
    </row>
    <row r="231" spans="1:21" ht="20" customHeight="1" x14ac:dyDescent="0.15">
      <c r="A231" s="8">
        <v>258</v>
      </c>
      <c r="B231" s="9" t="s">
        <v>50</v>
      </c>
      <c r="C231" s="41">
        <f t="shared" si="37"/>
        <v>44251</v>
      </c>
      <c r="D231" s="10" t="s">
        <v>19</v>
      </c>
      <c r="E231" s="36" t="str">
        <f t="shared" si="34"/>
        <v>youtube_blogger</v>
      </c>
      <c r="F231" s="10" t="s">
        <v>20</v>
      </c>
      <c r="G231" s="11">
        <v>10934</v>
      </c>
      <c r="H231" s="11">
        <v>409320</v>
      </c>
      <c r="I231" s="12">
        <v>22944.3</v>
      </c>
      <c r="J231" s="40">
        <f t="shared" si="35"/>
        <v>1.1013388058242939E-2</v>
      </c>
      <c r="K231" s="11">
        <v>4508</v>
      </c>
      <c r="L231" s="6" t="b">
        <f t="shared" si="36"/>
        <v>0</v>
      </c>
      <c r="M231" s="11">
        <v>65</v>
      </c>
      <c r="N231" s="6" t="b">
        <f t="shared" si="38"/>
        <v>0</v>
      </c>
      <c r="O231" s="11">
        <v>14</v>
      </c>
      <c r="P231" s="6" t="b">
        <f t="shared" si="43"/>
        <v>0</v>
      </c>
      <c r="Q231" s="12">
        <v>111734</v>
      </c>
      <c r="R231" s="1">
        <f t="shared" si="39"/>
        <v>0</v>
      </c>
      <c r="S231" s="1">
        <f t="shared" si="40"/>
        <v>0</v>
      </c>
      <c r="T231" s="1">
        <f t="shared" si="41"/>
        <v>0</v>
      </c>
      <c r="U231" s="1">
        <f t="shared" si="42"/>
        <v>0</v>
      </c>
    </row>
    <row r="232" spans="1:21" ht="20" customHeight="1" x14ac:dyDescent="0.15">
      <c r="A232" s="8">
        <v>284</v>
      </c>
      <c r="B232" s="9" t="s">
        <v>52</v>
      </c>
      <c r="C232" s="41">
        <f t="shared" si="37"/>
        <v>44253</v>
      </c>
      <c r="D232" s="10" t="s">
        <v>24</v>
      </c>
      <c r="E232" s="36" t="str">
        <f t="shared" si="34"/>
        <v>facebook_lal</v>
      </c>
      <c r="F232" s="10" t="s">
        <v>14</v>
      </c>
      <c r="G232" s="11">
        <v>544756</v>
      </c>
      <c r="H232" s="11">
        <v>55269</v>
      </c>
      <c r="I232" s="13">
        <v>315.92</v>
      </c>
      <c r="J232" s="40">
        <f t="shared" si="35"/>
        <v>1.1036928477084804E-2</v>
      </c>
      <c r="K232" s="11">
        <v>610</v>
      </c>
      <c r="L232" s="6" t="b">
        <f t="shared" si="36"/>
        <v>0</v>
      </c>
      <c r="M232" s="11">
        <v>0</v>
      </c>
      <c r="N232" s="6" t="b">
        <f t="shared" si="38"/>
        <v>0</v>
      </c>
      <c r="O232" s="11">
        <v>0</v>
      </c>
      <c r="P232" s="6" t="b">
        <f t="shared" si="43"/>
        <v>0</v>
      </c>
      <c r="Q232" s="12">
        <v>0</v>
      </c>
      <c r="R232" s="1">
        <f t="shared" si="39"/>
        <v>0</v>
      </c>
      <c r="S232" s="1">
        <f t="shared" si="40"/>
        <v>0</v>
      </c>
      <c r="T232" s="1">
        <f t="shared" si="41"/>
        <v>0</v>
      </c>
      <c r="U232" s="1">
        <f t="shared" si="42"/>
        <v>0</v>
      </c>
    </row>
    <row r="233" spans="1:21" ht="20" customHeight="1" x14ac:dyDescent="0.15">
      <c r="A233" s="8">
        <v>192</v>
      </c>
      <c r="B233" s="9" t="s">
        <v>44</v>
      </c>
      <c r="C233" s="41">
        <f t="shared" si="37"/>
        <v>44245</v>
      </c>
      <c r="D233" s="10" t="s">
        <v>19</v>
      </c>
      <c r="E233" s="36" t="str">
        <f t="shared" si="34"/>
        <v>youtube_blogger</v>
      </c>
      <c r="F233" s="10" t="s">
        <v>20</v>
      </c>
      <c r="G233" s="11">
        <v>10934</v>
      </c>
      <c r="H233" s="11">
        <v>4064081</v>
      </c>
      <c r="I233" s="12">
        <v>86522.9</v>
      </c>
      <c r="J233" s="40">
        <f t="shared" si="35"/>
        <v>1.1073598188618781E-2</v>
      </c>
      <c r="K233" s="11">
        <v>45004</v>
      </c>
      <c r="L233" s="6" t="b">
        <f t="shared" si="36"/>
        <v>0</v>
      </c>
      <c r="M233" s="11">
        <v>144</v>
      </c>
      <c r="N233" s="6" t="b">
        <f t="shared" si="38"/>
        <v>0</v>
      </c>
      <c r="O233" s="11">
        <v>31</v>
      </c>
      <c r="P233" s="6" t="b">
        <f t="shared" si="43"/>
        <v>0</v>
      </c>
      <c r="Q233" s="12">
        <v>256897</v>
      </c>
      <c r="R233" s="1">
        <f t="shared" si="39"/>
        <v>0</v>
      </c>
      <c r="S233" s="1">
        <f t="shared" si="40"/>
        <v>0</v>
      </c>
      <c r="T233" s="1">
        <f t="shared" si="41"/>
        <v>0</v>
      </c>
      <c r="U233" s="1">
        <f t="shared" si="42"/>
        <v>0</v>
      </c>
    </row>
    <row r="234" spans="1:21" ht="20" customHeight="1" x14ac:dyDescent="0.15">
      <c r="A234" s="8">
        <v>42</v>
      </c>
      <c r="B234" s="9" t="s">
        <v>30</v>
      </c>
      <c r="C234" s="41">
        <f t="shared" si="37"/>
        <v>44231</v>
      </c>
      <c r="D234" s="10" t="s">
        <v>24</v>
      </c>
      <c r="E234" s="36" t="str">
        <f t="shared" si="34"/>
        <v>facebook_lal</v>
      </c>
      <c r="F234" s="10" t="s">
        <v>14</v>
      </c>
      <c r="G234" s="11">
        <v>544756</v>
      </c>
      <c r="H234" s="11">
        <v>432611</v>
      </c>
      <c r="I234" s="12">
        <v>120335</v>
      </c>
      <c r="J234" s="40">
        <f t="shared" si="35"/>
        <v>1.1111599104044974E-2</v>
      </c>
      <c r="K234" s="11">
        <v>4807</v>
      </c>
      <c r="L234" s="6" t="b">
        <f t="shared" si="36"/>
        <v>0</v>
      </c>
      <c r="M234" s="11">
        <v>71</v>
      </c>
      <c r="N234" s="6" t="b">
        <f t="shared" si="38"/>
        <v>0</v>
      </c>
      <c r="O234" s="11">
        <v>13</v>
      </c>
      <c r="P234" s="6" t="b">
        <f t="shared" si="43"/>
        <v>0</v>
      </c>
      <c r="Q234" s="12">
        <v>6864</v>
      </c>
      <c r="R234" s="1">
        <f t="shared" si="39"/>
        <v>0</v>
      </c>
      <c r="S234" s="1">
        <f t="shared" si="40"/>
        <v>0</v>
      </c>
      <c r="T234" s="1">
        <f t="shared" si="41"/>
        <v>0</v>
      </c>
      <c r="U234" s="1">
        <f t="shared" si="42"/>
        <v>0</v>
      </c>
    </row>
    <row r="235" spans="1:21" ht="20" customHeight="1" x14ac:dyDescent="0.15">
      <c r="A235" s="8">
        <v>20</v>
      </c>
      <c r="B235" s="9" t="s">
        <v>28</v>
      </c>
      <c r="C235" s="41">
        <f t="shared" si="37"/>
        <v>44229</v>
      </c>
      <c r="D235" s="10" t="s">
        <v>24</v>
      </c>
      <c r="E235" s="36" t="str">
        <f t="shared" si="34"/>
        <v>facebook_lal</v>
      </c>
      <c r="F235" s="10" t="s">
        <v>14</v>
      </c>
      <c r="G235" s="11">
        <v>544756</v>
      </c>
      <c r="H235" s="11">
        <v>107553</v>
      </c>
      <c r="I235" s="13">
        <v>8829.07</v>
      </c>
      <c r="J235" s="40">
        <f t="shared" si="35"/>
        <v>1.1120098927970397E-2</v>
      </c>
      <c r="K235" s="11">
        <v>1196</v>
      </c>
      <c r="L235" s="6" t="b">
        <f t="shared" si="36"/>
        <v>0</v>
      </c>
      <c r="M235" s="11">
        <v>7</v>
      </c>
      <c r="N235" s="6" t="b">
        <f t="shared" si="38"/>
        <v>0</v>
      </c>
      <c r="O235" s="11">
        <v>1</v>
      </c>
      <c r="P235" s="6" t="b">
        <f t="shared" si="43"/>
        <v>0</v>
      </c>
      <c r="Q235" s="12">
        <v>1129</v>
      </c>
      <c r="R235" s="1">
        <f t="shared" si="39"/>
        <v>0</v>
      </c>
      <c r="S235" s="1">
        <f t="shared" si="40"/>
        <v>0</v>
      </c>
      <c r="T235" s="1">
        <f t="shared" si="41"/>
        <v>0</v>
      </c>
      <c r="U235" s="1">
        <f t="shared" si="42"/>
        <v>0</v>
      </c>
    </row>
    <row r="236" spans="1:21" ht="20" customHeight="1" x14ac:dyDescent="0.15">
      <c r="A236" s="8">
        <v>115</v>
      </c>
      <c r="B236" s="9" t="s">
        <v>37</v>
      </c>
      <c r="C236" s="41">
        <f t="shared" si="37"/>
        <v>44238</v>
      </c>
      <c r="D236" s="10" t="s">
        <v>19</v>
      </c>
      <c r="E236" s="36" t="str">
        <f t="shared" si="34"/>
        <v>youtube_blogger</v>
      </c>
      <c r="F236" s="10" t="s">
        <v>20</v>
      </c>
      <c r="G236" s="11">
        <v>10934</v>
      </c>
      <c r="H236" s="11">
        <v>1210466</v>
      </c>
      <c r="I236" s="12">
        <v>197161</v>
      </c>
      <c r="J236" s="40">
        <f t="shared" si="35"/>
        <v>1.1157686378634344E-2</v>
      </c>
      <c r="K236" s="11">
        <v>13506</v>
      </c>
      <c r="L236" s="6" t="b">
        <f t="shared" si="36"/>
        <v>0</v>
      </c>
      <c r="M236" s="11">
        <v>474</v>
      </c>
      <c r="N236" s="6" t="b">
        <f t="shared" si="38"/>
        <v>0</v>
      </c>
      <c r="O236" s="11">
        <v>95</v>
      </c>
      <c r="P236" s="6" t="b">
        <f t="shared" si="43"/>
        <v>0</v>
      </c>
      <c r="Q236" s="12">
        <v>831820</v>
      </c>
      <c r="R236" s="1">
        <f t="shared" si="39"/>
        <v>0</v>
      </c>
      <c r="S236" s="1">
        <f t="shared" si="40"/>
        <v>0</v>
      </c>
      <c r="T236" s="1">
        <f t="shared" si="41"/>
        <v>0</v>
      </c>
      <c r="U236" s="1">
        <f t="shared" si="42"/>
        <v>0</v>
      </c>
    </row>
    <row r="237" spans="1:21" ht="20" customHeight="1" x14ac:dyDescent="0.15">
      <c r="A237" s="8">
        <v>49</v>
      </c>
      <c r="B237" s="9" t="s">
        <v>31</v>
      </c>
      <c r="C237" s="41">
        <f t="shared" si="37"/>
        <v>44232</v>
      </c>
      <c r="D237" s="10" t="s">
        <v>19</v>
      </c>
      <c r="E237" s="36" t="str">
        <f t="shared" si="34"/>
        <v>youtube_blogger</v>
      </c>
      <c r="F237" s="10" t="s">
        <v>20</v>
      </c>
      <c r="G237" s="11">
        <v>10934</v>
      </c>
      <c r="H237" s="11">
        <v>1965108</v>
      </c>
      <c r="I237" s="12">
        <v>442617</v>
      </c>
      <c r="J237" s="40">
        <f t="shared" si="35"/>
        <v>1.1453314525206757E-2</v>
      </c>
      <c r="K237" s="11">
        <v>22507</v>
      </c>
      <c r="L237" s="6" t="b">
        <f t="shared" si="36"/>
        <v>0</v>
      </c>
      <c r="M237" s="11">
        <v>731</v>
      </c>
      <c r="N237" s="6" t="b">
        <f t="shared" si="38"/>
        <v>0</v>
      </c>
      <c r="O237" s="11">
        <v>146</v>
      </c>
      <c r="P237" s="6" t="b">
        <f t="shared" si="43"/>
        <v>0</v>
      </c>
      <c r="Q237" s="12">
        <v>1165230</v>
      </c>
      <c r="R237" s="1">
        <f t="shared" si="39"/>
        <v>0</v>
      </c>
      <c r="S237" s="1">
        <f t="shared" si="40"/>
        <v>0</v>
      </c>
      <c r="T237" s="1">
        <f t="shared" si="41"/>
        <v>0</v>
      </c>
      <c r="U237" s="1">
        <f t="shared" si="42"/>
        <v>0</v>
      </c>
    </row>
    <row r="238" spans="1:21" ht="20" customHeight="1" x14ac:dyDescent="0.15">
      <c r="A238" s="8">
        <v>280</v>
      </c>
      <c r="B238" s="9" t="s">
        <v>52</v>
      </c>
      <c r="C238" s="41">
        <f t="shared" si="37"/>
        <v>44253</v>
      </c>
      <c r="D238" s="10" t="s">
        <v>19</v>
      </c>
      <c r="E238" s="36" t="str">
        <f t="shared" si="34"/>
        <v>youtube_blogger</v>
      </c>
      <c r="F238" s="10" t="s">
        <v>20</v>
      </c>
      <c r="G238" s="11">
        <v>10934</v>
      </c>
      <c r="H238" s="11">
        <v>195016</v>
      </c>
      <c r="I238" s="12">
        <v>38804.199999999997</v>
      </c>
      <c r="J238" s="40">
        <f t="shared" si="35"/>
        <v>1.1522131517413955E-2</v>
      </c>
      <c r="K238" s="11">
        <v>2247</v>
      </c>
      <c r="L238" s="6" t="b">
        <f t="shared" si="36"/>
        <v>0</v>
      </c>
      <c r="M238" s="11">
        <v>82</v>
      </c>
      <c r="N238" s="6" t="b">
        <f t="shared" si="38"/>
        <v>0</v>
      </c>
      <c r="O238" s="11">
        <v>16</v>
      </c>
      <c r="P238" s="6" t="b">
        <f t="shared" si="43"/>
        <v>0</v>
      </c>
      <c r="Q238" s="12">
        <v>127696</v>
      </c>
      <c r="R238" s="1">
        <f t="shared" si="39"/>
        <v>0</v>
      </c>
      <c r="S238" s="1">
        <f t="shared" si="40"/>
        <v>0</v>
      </c>
      <c r="T238" s="1">
        <f t="shared" si="41"/>
        <v>0</v>
      </c>
      <c r="U238" s="1">
        <f t="shared" si="42"/>
        <v>0</v>
      </c>
    </row>
    <row r="239" spans="1:21" ht="20" customHeight="1" x14ac:dyDescent="0.15">
      <c r="A239" s="8">
        <v>236</v>
      </c>
      <c r="B239" s="9" t="s">
        <v>48</v>
      </c>
      <c r="C239" s="41">
        <f t="shared" si="37"/>
        <v>44249</v>
      </c>
      <c r="D239" s="10" t="s">
        <v>19</v>
      </c>
      <c r="E239" s="36" t="str">
        <f t="shared" si="34"/>
        <v>youtube_blogger</v>
      </c>
      <c r="F239" s="10" t="s">
        <v>20</v>
      </c>
      <c r="G239" s="11">
        <v>10934</v>
      </c>
      <c r="H239" s="11">
        <v>757387</v>
      </c>
      <c r="I239" s="12">
        <v>77803.8</v>
      </c>
      <c r="J239" s="40">
        <f t="shared" si="35"/>
        <v>1.1878999771583087E-2</v>
      </c>
      <c r="K239" s="11">
        <v>8997</v>
      </c>
      <c r="L239" s="6" t="b">
        <f t="shared" si="36"/>
        <v>0</v>
      </c>
      <c r="M239" s="11">
        <v>180</v>
      </c>
      <c r="N239" s="6" t="b">
        <f t="shared" si="38"/>
        <v>0</v>
      </c>
      <c r="O239" s="11">
        <v>42</v>
      </c>
      <c r="P239" s="6" t="b">
        <f t="shared" si="43"/>
        <v>0</v>
      </c>
      <c r="Q239" s="12">
        <v>359394</v>
      </c>
      <c r="R239" s="1">
        <f t="shared" si="39"/>
        <v>0</v>
      </c>
      <c r="S239" s="1">
        <f t="shared" si="40"/>
        <v>0</v>
      </c>
      <c r="T239" s="1">
        <f t="shared" si="41"/>
        <v>0</v>
      </c>
      <c r="U239" s="1">
        <f t="shared" si="42"/>
        <v>0</v>
      </c>
    </row>
    <row r="240" spans="1:21" ht="20" customHeight="1" x14ac:dyDescent="0.15">
      <c r="A240" s="8">
        <v>152</v>
      </c>
      <c r="B240" s="9" t="s">
        <v>40</v>
      </c>
      <c r="C240" s="41">
        <f t="shared" si="37"/>
        <v>44241</v>
      </c>
      <c r="D240" s="10" t="s">
        <v>24</v>
      </c>
      <c r="E240" s="36" t="str">
        <f t="shared" si="34"/>
        <v>facebook_lal</v>
      </c>
      <c r="F240" s="10" t="s">
        <v>14</v>
      </c>
      <c r="G240" s="11">
        <v>544756</v>
      </c>
      <c r="H240" s="11">
        <v>605220</v>
      </c>
      <c r="I240" s="12">
        <v>170719</v>
      </c>
      <c r="J240" s="40">
        <f t="shared" si="35"/>
        <v>1.1904761904761904E-2</v>
      </c>
      <c r="K240" s="11">
        <v>7205</v>
      </c>
      <c r="L240" s="6" t="b">
        <f t="shared" si="36"/>
        <v>0</v>
      </c>
      <c r="M240" s="11">
        <v>142</v>
      </c>
      <c r="N240" s="6" t="b">
        <f t="shared" si="38"/>
        <v>0</v>
      </c>
      <c r="O240" s="11">
        <v>21</v>
      </c>
      <c r="P240" s="6" t="b">
        <f t="shared" si="43"/>
        <v>0</v>
      </c>
      <c r="Q240" s="12">
        <v>14280</v>
      </c>
      <c r="R240" s="1">
        <f t="shared" si="39"/>
        <v>0</v>
      </c>
      <c r="S240" s="1">
        <f t="shared" si="40"/>
        <v>0</v>
      </c>
      <c r="T240" s="1">
        <f t="shared" si="41"/>
        <v>0</v>
      </c>
      <c r="U240" s="1">
        <f t="shared" si="42"/>
        <v>0</v>
      </c>
    </row>
    <row r="241" spans="1:21" ht="20" customHeight="1" x14ac:dyDescent="0.15">
      <c r="A241" s="8">
        <v>197</v>
      </c>
      <c r="B241" s="9" t="s">
        <v>44</v>
      </c>
      <c r="C241" s="41">
        <f t="shared" si="37"/>
        <v>44245</v>
      </c>
      <c r="D241" s="10" t="s">
        <v>25</v>
      </c>
      <c r="E241" s="36" t="str">
        <f t="shared" si="34"/>
        <v>instagram_blogger</v>
      </c>
      <c r="F241" s="10" t="s">
        <v>20</v>
      </c>
      <c r="G241" s="11">
        <v>374754</v>
      </c>
      <c r="H241" s="11">
        <v>2482796</v>
      </c>
      <c r="I241" s="12">
        <v>518530</v>
      </c>
      <c r="J241" s="40">
        <f t="shared" si="35"/>
        <v>1.2083151414775922E-2</v>
      </c>
      <c r="K241" s="11">
        <v>30000</v>
      </c>
      <c r="L241" s="6" t="b">
        <f t="shared" si="36"/>
        <v>0</v>
      </c>
      <c r="M241" s="11">
        <v>1032</v>
      </c>
      <c r="N241" s="6" t="b">
        <f t="shared" si="38"/>
        <v>0</v>
      </c>
      <c r="O241" s="11">
        <v>134</v>
      </c>
      <c r="P241" s="6" t="b">
        <f t="shared" si="43"/>
        <v>0</v>
      </c>
      <c r="Q241" s="12">
        <v>796630</v>
      </c>
      <c r="R241" s="1">
        <f t="shared" si="39"/>
        <v>0</v>
      </c>
      <c r="S241" s="1">
        <f t="shared" si="40"/>
        <v>0</v>
      </c>
      <c r="T241" s="1">
        <f t="shared" si="41"/>
        <v>0</v>
      </c>
      <c r="U241" s="1">
        <f t="shared" si="42"/>
        <v>0</v>
      </c>
    </row>
    <row r="242" spans="1:21" ht="20" customHeight="1" x14ac:dyDescent="0.15">
      <c r="A242" s="8">
        <v>141</v>
      </c>
      <c r="B242" s="9" t="s">
        <v>39</v>
      </c>
      <c r="C242" s="41">
        <f t="shared" si="37"/>
        <v>44240</v>
      </c>
      <c r="D242" s="10" t="s">
        <v>24</v>
      </c>
      <c r="E242" s="36" t="str">
        <f t="shared" si="34"/>
        <v>facebook_lal</v>
      </c>
      <c r="F242" s="10" t="s">
        <v>14</v>
      </c>
      <c r="G242" s="11">
        <v>544756</v>
      </c>
      <c r="H242" s="11">
        <v>495013</v>
      </c>
      <c r="I242" s="12">
        <v>171332</v>
      </c>
      <c r="J242" s="40">
        <f t="shared" si="35"/>
        <v>1.2133014688503131E-2</v>
      </c>
      <c r="K242" s="11">
        <v>6006</v>
      </c>
      <c r="L242" s="6" t="b">
        <f t="shared" si="36"/>
        <v>0</v>
      </c>
      <c r="M242" s="11">
        <v>128</v>
      </c>
      <c r="N242" s="6" t="b">
        <f t="shared" si="38"/>
        <v>0</v>
      </c>
      <c r="O242" s="11">
        <v>19</v>
      </c>
      <c r="P242" s="6" t="b">
        <f t="shared" si="43"/>
        <v>0</v>
      </c>
      <c r="Q242" s="12">
        <v>24035</v>
      </c>
      <c r="R242" s="1">
        <f t="shared" si="39"/>
        <v>0</v>
      </c>
      <c r="S242" s="1">
        <f t="shared" si="40"/>
        <v>0</v>
      </c>
      <c r="T242" s="1">
        <f t="shared" si="41"/>
        <v>0</v>
      </c>
      <c r="U242" s="1">
        <f t="shared" si="42"/>
        <v>0</v>
      </c>
    </row>
    <row r="243" spans="1:21" ht="20" customHeight="1" x14ac:dyDescent="0.15">
      <c r="A243" s="8">
        <v>31</v>
      </c>
      <c r="B243" s="9" t="s">
        <v>29</v>
      </c>
      <c r="C243" s="41">
        <f t="shared" si="37"/>
        <v>44230</v>
      </c>
      <c r="D243" s="10" t="s">
        <v>24</v>
      </c>
      <c r="E243" s="36" t="str">
        <f t="shared" si="34"/>
        <v>facebook_lal</v>
      </c>
      <c r="F243" s="10" t="s">
        <v>14</v>
      </c>
      <c r="G243" s="11">
        <v>544756</v>
      </c>
      <c r="H243" s="11">
        <v>295009</v>
      </c>
      <c r="I243" s="12">
        <v>76716.399999999994</v>
      </c>
      <c r="J243" s="40">
        <f t="shared" si="35"/>
        <v>1.2186068899592895E-2</v>
      </c>
      <c r="K243" s="11">
        <v>3595</v>
      </c>
      <c r="L243" s="6" t="b">
        <f t="shared" si="36"/>
        <v>0</v>
      </c>
      <c r="M243" s="11">
        <v>72</v>
      </c>
      <c r="N243" s="6" t="b">
        <f t="shared" si="38"/>
        <v>0</v>
      </c>
      <c r="O243" s="11">
        <v>9</v>
      </c>
      <c r="P243" s="6" t="b">
        <f t="shared" si="43"/>
        <v>0</v>
      </c>
      <c r="Q243" s="12">
        <v>5607</v>
      </c>
      <c r="R243" s="1">
        <f t="shared" si="39"/>
        <v>0</v>
      </c>
      <c r="S243" s="1">
        <f t="shared" si="40"/>
        <v>0</v>
      </c>
      <c r="T243" s="1">
        <f t="shared" si="41"/>
        <v>0</v>
      </c>
      <c r="U243" s="1">
        <f t="shared" si="42"/>
        <v>0</v>
      </c>
    </row>
    <row r="244" spans="1:21" ht="20" customHeight="1" x14ac:dyDescent="0.15">
      <c r="A244" s="8">
        <v>109</v>
      </c>
      <c r="B244" s="9" t="s">
        <v>36</v>
      </c>
      <c r="C244" s="41">
        <f t="shared" si="37"/>
        <v>44237</v>
      </c>
      <c r="D244" s="10" t="s">
        <v>25</v>
      </c>
      <c r="E244" s="36" t="str">
        <f t="shared" si="34"/>
        <v>instagram_blogger</v>
      </c>
      <c r="F244" s="10" t="s">
        <v>20</v>
      </c>
      <c r="G244" s="11">
        <v>374754</v>
      </c>
      <c r="H244" s="11">
        <v>489728</v>
      </c>
      <c r="I244" s="12">
        <v>126901</v>
      </c>
      <c r="J244" s="40">
        <f t="shared" si="35"/>
        <v>1.2261908651332984E-2</v>
      </c>
      <c r="K244" s="11">
        <v>6005</v>
      </c>
      <c r="L244" s="6" t="b">
        <f t="shared" si="36"/>
        <v>0</v>
      </c>
      <c r="M244" s="11">
        <v>187</v>
      </c>
      <c r="N244" s="6" t="b">
        <f t="shared" si="38"/>
        <v>0</v>
      </c>
      <c r="O244" s="11">
        <v>34</v>
      </c>
      <c r="P244" s="6" t="b">
        <f t="shared" si="43"/>
        <v>0</v>
      </c>
      <c r="Q244" s="12">
        <v>143888</v>
      </c>
      <c r="R244" s="1">
        <f t="shared" si="39"/>
        <v>0</v>
      </c>
      <c r="S244" s="1">
        <f t="shared" si="40"/>
        <v>0</v>
      </c>
      <c r="T244" s="1">
        <f t="shared" si="41"/>
        <v>0</v>
      </c>
      <c r="U244" s="1">
        <f t="shared" si="42"/>
        <v>0</v>
      </c>
    </row>
    <row r="245" spans="1:21" ht="20" customHeight="1" x14ac:dyDescent="0.15">
      <c r="A245" s="8">
        <v>296</v>
      </c>
      <c r="B245" s="9" t="s">
        <v>53</v>
      </c>
      <c r="C245" s="41">
        <f t="shared" si="37"/>
        <v>44254</v>
      </c>
      <c r="D245" s="10" t="s">
        <v>25</v>
      </c>
      <c r="E245" s="36" t="str">
        <f t="shared" si="34"/>
        <v>instagram_blogger</v>
      </c>
      <c r="F245" s="10" t="s">
        <v>20</v>
      </c>
      <c r="G245" s="11">
        <v>374754</v>
      </c>
      <c r="H245" s="11">
        <v>24018</v>
      </c>
      <c r="I245" s="13">
        <v>3524.08</v>
      </c>
      <c r="J245" s="40">
        <f t="shared" si="35"/>
        <v>1.2407361145807311E-2</v>
      </c>
      <c r="K245" s="11">
        <v>298</v>
      </c>
      <c r="L245" s="6" t="b">
        <f t="shared" si="36"/>
        <v>0</v>
      </c>
      <c r="M245" s="11">
        <v>6</v>
      </c>
      <c r="N245" s="6" t="b">
        <f t="shared" si="38"/>
        <v>0</v>
      </c>
      <c r="O245" s="11">
        <v>1</v>
      </c>
      <c r="P245" s="6" t="b">
        <f t="shared" si="43"/>
        <v>0</v>
      </c>
      <c r="Q245" s="12">
        <v>4661</v>
      </c>
      <c r="R245" s="1">
        <f t="shared" si="39"/>
        <v>0</v>
      </c>
      <c r="S245" s="1">
        <f t="shared" si="40"/>
        <v>0</v>
      </c>
      <c r="T245" s="1">
        <f t="shared" si="41"/>
        <v>0</v>
      </c>
      <c r="U245" s="1">
        <f t="shared" si="42"/>
        <v>0</v>
      </c>
    </row>
    <row r="246" spans="1:21" ht="20" customHeight="1" x14ac:dyDescent="0.15">
      <c r="A246" s="8">
        <v>10</v>
      </c>
      <c r="B246" s="9" t="s">
        <v>12</v>
      </c>
      <c r="C246" s="41">
        <f t="shared" si="37"/>
        <v>44228</v>
      </c>
      <c r="D246" s="10" t="s">
        <v>25</v>
      </c>
      <c r="E246" s="36" t="str">
        <f t="shared" si="34"/>
        <v>instagram_blogger</v>
      </c>
      <c r="F246" s="10" t="s">
        <v>20</v>
      </c>
      <c r="G246" s="11">
        <v>374754</v>
      </c>
      <c r="H246" s="11">
        <v>120436</v>
      </c>
      <c r="I246" s="12">
        <v>23604.1</v>
      </c>
      <c r="J246" s="40">
        <f t="shared" si="35"/>
        <v>1.2438141419509116E-2</v>
      </c>
      <c r="K246" s="11">
        <v>1498</v>
      </c>
      <c r="L246" s="6" t="b">
        <f t="shared" si="36"/>
        <v>0</v>
      </c>
      <c r="M246" s="11">
        <v>49</v>
      </c>
      <c r="N246" s="6" t="b">
        <f t="shared" si="38"/>
        <v>0</v>
      </c>
      <c r="O246" s="11">
        <v>7</v>
      </c>
      <c r="P246" s="6" t="b">
        <f t="shared" si="43"/>
        <v>0</v>
      </c>
      <c r="Q246" s="12">
        <v>39081</v>
      </c>
      <c r="R246" s="1">
        <f t="shared" si="39"/>
        <v>0</v>
      </c>
      <c r="S246" s="1">
        <f t="shared" si="40"/>
        <v>0</v>
      </c>
      <c r="T246" s="1">
        <f t="shared" si="41"/>
        <v>0</v>
      </c>
      <c r="U246" s="1">
        <f t="shared" si="42"/>
        <v>0</v>
      </c>
    </row>
    <row r="247" spans="1:21" ht="20" customHeight="1" x14ac:dyDescent="0.15">
      <c r="A247" s="8">
        <v>274</v>
      </c>
      <c r="B247" s="9" t="s">
        <v>51</v>
      </c>
      <c r="C247" s="41">
        <f t="shared" si="37"/>
        <v>44252</v>
      </c>
      <c r="D247" s="10" t="s">
        <v>25</v>
      </c>
      <c r="E247" s="36" t="str">
        <f t="shared" si="34"/>
        <v>instagram_blogger</v>
      </c>
      <c r="F247" s="10" t="s">
        <v>20</v>
      </c>
      <c r="G247" s="11">
        <v>374754</v>
      </c>
      <c r="H247" s="11">
        <v>46753</v>
      </c>
      <c r="I247" s="13">
        <v>6227.53</v>
      </c>
      <c r="J247" s="40">
        <f t="shared" si="35"/>
        <v>1.2640900049194704E-2</v>
      </c>
      <c r="K247" s="11">
        <v>591</v>
      </c>
      <c r="L247" s="6" t="b">
        <f t="shared" si="36"/>
        <v>0</v>
      </c>
      <c r="M247" s="11">
        <v>12</v>
      </c>
      <c r="N247" s="6" t="b">
        <f t="shared" si="38"/>
        <v>0</v>
      </c>
      <c r="O247" s="11">
        <v>2</v>
      </c>
      <c r="P247" s="6" t="b">
        <f t="shared" si="43"/>
        <v>0</v>
      </c>
      <c r="Q247" s="12">
        <v>10130</v>
      </c>
      <c r="R247" s="1">
        <f t="shared" si="39"/>
        <v>0</v>
      </c>
      <c r="S247" s="1">
        <f t="shared" si="40"/>
        <v>0</v>
      </c>
      <c r="T247" s="1">
        <f t="shared" si="41"/>
        <v>0</v>
      </c>
      <c r="U247" s="1">
        <f t="shared" si="42"/>
        <v>0</v>
      </c>
    </row>
    <row r="248" spans="1:21" ht="20" customHeight="1" x14ac:dyDescent="0.15">
      <c r="A248" s="8">
        <v>159</v>
      </c>
      <c r="B248" s="9" t="s">
        <v>41</v>
      </c>
      <c r="C248" s="41">
        <f t="shared" si="37"/>
        <v>44242</v>
      </c>
      <c r="D248" s="10" t="s">
        <v>19</v>
      </c>
      <c r="E248" s="36" t="str">
        <f t="shared" si="34"/>
        <v>youtube_blogger</v>
      </c>
      <c r="F248" s="10" t="s">
        <v>20</v>
      </c>
      <c r="G248" s="11">
        <v>10934</v>
      </c>
      <c r="H248" s="11">
        <v>2478877</v>
      </c>
      <c r="I248" s="12">
        <v>151480</v>
      </c>
      <c r="J248" s="40">
        <f t="shared" si="35"/>
        <v>1.2708980719898568E-2</v>
      </c>
      <c r="K248" s="11">
        <v>31504</v>
      </c>
      <c r="L248" s="6" t="b">
        <f t="shared" si="36"/>
        <v>0</v>
      </c>
      <c r="M248" s="11">
        <v>630</v>
      </c>
      <c r="N248" s="6" t="b">
        <f t="shared" si="38"/>
        <v>0</v>
      </c>
      <c r="O248" s="11">
        <v>98</v>
      </c>
      <c r="P248" s="6" t="b">
        <f t="shared" si="43"/>
        <v>0</v>
      </c>
      <c r="Q248" s="12">
        <v>782138</v>
      </c>
      <c r="R248" s="1">
        <f t="shared" si="39"/>
        <v>0</v>
      </c>
      <c r="S248" s="1">
        <f t="shared" si="40"/>
        <v>0</v>
      </c>
      <c r="T248" s="1">
        <f t="shared" si="41"/>
        <v>0</v>
      </c>
      <c r="U248" s="1">
        <f t="shared" si="42"/>
        <v>0</v>
      </c>
    </row>
    <row r="249" spans="1:21" ht="20" customHeight="1" x14ac:dyDescent="0.15">
      <c r="A249" s="8">
        <v>252</v>
      </c>
      <c r="B249" s="9" t="s">
        <v>49</v>
      </c>
      <c r="C249" s="41">
        <f t="shared" si="37"/>
        <v>44250</v>
      </c>
      <c r="D249" s="10" t="s">
        <v>25</v>
      </c>
      <c r="E249" s="36" t="str">
        <f t="shared" si="34"/>
        <v>instagram_blogger</v>
      </c>
      <c r="F249" s="10" t="s">
        <v>20</v>
      </c>
      <c r="G249" s="11">
        <v>374754</v>
      </c>
      <c r="H249" s="11">
        <v>117218</v>
      </c>
      <c r="I249" s="12">
        <v>15435</v>
      </c>
      <c r="J249" s="40">
        <f t="shared" si="35"/>
        <v>1.2796669453496903E-2</v>
      </c>
      <c r="K249" s="11">
        <v>1500</v>
      </c>
      <c r="L249" s="6" t="b">
        <f t="shared" si="36"/>
        <v>0</v>
      </c>
      <c r="M249" s="11">
        <v>31</v>
      </c>
      <c r="N249" s="6" t="b">
        <f t="shared" si="38"/>
        <v>0</v>
      </c>
      <c r="O249" s="11">
        <v>4</v>
      </c>
      <c r="P249" s="6" t="b">
        <f t="shared" si="43"/>
        <v>0</v>
      </c>
      <c r="Q249" s="12">
        <v>17816</v>
      </c>
      <c r="R249" s="1">
        <f t="shared" si="39"/>
        <v>0</v>
      </c>
      <c r="S249" s="1">
        <f t="shared" si="40"/>
        <v>0</v>
      </c>
      <c r="T249" s="1">
        <f t="shared" si="41"/>
        <v>0</v>
      </c>
      <c r="U249" s="1">
        <f t="shared" si="42"/>
        <v>0</v>
      </c>
    </row>
    <row r="250" spans="1:21" ht="20" customHeight="1" x14ac:dyDescent="0.15">
      <c r="A250" s="8">
        <v>218</v>
      </c>
      <c r="B250" s="9" t="s">
        <v>46</v>
      </c>
      <c r="C250" s="41">
        <f t="shared" si="37"/>
        <v>44247</v>
      </c>
      <c r="D250" s="10" t="s">
        <v>24</v>
      </c>
      <c r="E250" s="36" t="str">
        <f t="shared" si="34"/>
        <v>facebook_lal</v>
      </c>
      <c r="F250" s="10" t="s">
        <v>14</v>
      </c>
      <c r="G250" s="11">
        <v>544756</v>
      </c>
      <c r="H250" s="11">
        <v>1118531</v>
      </c>
      <c r="I250" s="12">
        <v>173041</v>
      </c>
      <c r="J250" s="40">
        <f t="shared" si="35"/>
        <v>1.2873134495154806E-2</v>
      </c>
      <c r="K250" s="11">
        <v>14399</v>
      </c>
      <c r="L250" s="6" t="b">
        <f t="shared" si="36"/>
        <v>0</v>
      </c>
      <c r="M250" s="11">
        <v>113</v>
      </c>
      <c r="N250" s="6" t="b">
        <f t="shared" si="38"/>
        <v>0</v>
      </c>
      <c r="O250" s="11">
        <v>18</v>
      </c>
      <c r="P250" s="6" t="b">
        <f t="shared" si="43"/>
        <v>0</v>
      </c>
      <c r="Q250" s="12">
        <v>17658</v>
      </c>
      <c r="R250" s="1">
        <f t="shared" si="39"/>
        <v>0</v>
      </c>
      <c r="S250" s="1">
        <f t="shared" si="40"/>
        <v>0</v>
      </c>
      <c r="T250" s="1">
        <f t="shared" si="41"/>
        <v>0</v>
      </c>
      <c r="U250" s="1">
        <f t="shared" si="42"/>
        <v>0</v>
      </c>
    </row>
    <row r="251" spans="1:21" ht="20" customHeight="1" x14ac:dyDescent="0.15">
      <c r="A251" s="8">
        <v>203</v>
      </c>
      <c r="B251" s="9" t="s">
        <v>45</v>
      </c>
      <c r="C251" s="41">
        <f t="shared" si="37"/>
        <v>44246</v>
      </c>
      <c r="D251" s="10" t="s">
        <v>19</v>
      </c>
      <c r="E251" s="36" t="str">
        <f t="shared" si="34"/>
        <v>youtube_blogger</v>
      </c>
      <c r="F251" s="10" t="s">
        <v>20</v>
      </c>
      <c r="G251" s="11">
        <v>10934</v>
      </c>
      <c r="H251" s="11">
        <v>3801165</v>
      </c>
      <c r="I251" s="12">
        <v>880357</v>
      </c>
      <c r="J251" s="40">
        <f t="shared" si="35"/>
        <v>1.3024954191675446E-2</v>
      </c>
      <c r="K251" s="11">
        <v>49510</v>
      </c>
      <c r="L251" s="6" t="b">
        <f t="shared" si="36"/>
        <v>0</v>
      </c>
      <c r="M251" s="11">
        <v>1666</v>
      </c>
      <c r="N251" s="6" t="b">
        <f t="shared" si="38"/>
        <v>0</v>
      </c>
      <c r="O251" s="11">
        <v>369</v>
      </c>
      <c r="P251" s="6" t="b">
        <f>(O251)&gt;(M251)</f>
        <v>0</v>
      </c>
      <c r="Q251" s="12">
        <v>2812520</v>
      </c>
      <c r="R251" s="1">
        <f t="shared" si="39"/>
        <v>0</v>
      </c>
      <c r="S251" s="1">
        <f t="shared" si="40"/>
        <v>0</v>
      </c>
      <c r="T251" s="1">
        <f t="shared" si="41"/>
        <v>0</v>
      </c>
      <c r="U251" s="1">
        <f t="shared" si="42"/>
        <v>0</v>
      </c>
    </row>
    <row r="252" spans="1:21" ht="20" customHeight="1" x14ac:dyDescent="0.15">
      <c r="A252" s="8">
        <v>27</v>
      </c>
      <c r="B252" s="9" t="s">
        <v>29</v>
      </c>
      <c r="C252" s="41">
        <f t="shared" si="37"/>
        <v>44230</v>
      </c>
      <c r="D252" s="10" t="s">
        <v>19</v>
      </c>
      <c r="E252" s="36" t="str">
        <f t="shared" si="34"/>
        <v>youtube_blogger</v>
      </c>
      <c r="F252" s="10" t="s">
        <v>20</v>
      </c>
      <c r="G252" s="11">
        <v>10934</v>
      </c>
      <c r="H252" s="11">
        <v>1035261</v>
      </c>
      <c r="I252" s="12">
        <v>189341</v>
      </c>
      <c r="J252" s="40">
        <f t="shared" si="35"/>
        <v>1.3043087685134474E-2</v>
      </c>
      <c r="K252" s="11">
        <v>13503</v>
      </c>
      <c r="L252" s="6" t="b">
        <f t="shared" si="36"/>
        <v>0</v>
      </c>
      <c r="M252" s="11">
        <v>455</v>
      </c>
      <c r="N252" s="6" t="b">
        <f t="shared" si="38"/>
        <v>0</v>
      </c>
      <c r="O252" s="11">
        <v>91</v>
      </c>
      <c r="P252" s="6" t="b">
        <f t="shared" ref="P252:P283" si="44">(O251)&gt;(M251)</f>
        <v>0</v>
      </c>
      <c r="Q252" s="12">
        <v>772499</v>
      </c>
      <c r="R252" s="1">
        <f t="shared" si="39"/>
        <v>0</v>
      </c>
      <c r="S252" s="1">
        <f t="shared" si="40"/>
        <v>0</v>
      </c>
      <c r="T252" s="1">
        <f t="shared" si="41"/>
        <v>0</v>
      </c>
      <c r="U252" s="1">
        <f t="shared" si="42"/>
        <v>0</v>
      </c>
    </row>
    <row r="253" spans="1:21" ht="20" customHeight="1" x14ac:dyDescent="0.15">
      <c r="A253" s="8">
        <v>32</v>
      </c>
      <c r="B253" s="9" t="s">
        <v>29</v>
      </c>
      <c r="C253" s="41">
        <f t="shared" si="37"/>
        <v>44230</v>
      </c>
      <c r="D253" s="10" t="s">
        <v>25</v>
      </c>
      <c r="E253" s="36" t="str">
        <f t="shared" si="34"/>
        <v>instagram_blogger</v>
      </c>
      <c r="F253" s="10" t="s">
        <v>20</v>
      </c>
      <c r="G253" s="11">
        <v>374754</v>
      </c>
      <c r="H253" s="11">
        <v>667352</v>
      </c>
      <c r="I253" s="12">
        <v>194336</v>
      </c>
      <c r="J253" s="40">
        <f t="shared" si="35"/>
        <v>1.3480142413598821E-2</v>
      </c>
      <c r="K253" s="11">
        <v>8996</v>
      </c>
      <c r="L253" s="6" t="b">
        <f t="shared" si="36"/>
        <v>0</v>
      </c>
      <c r="M253" s="11">
        <v>342</v>
      </c>
      <c r="N253" s="6" t="b">
        <f t="shared" si="38"/>
        <v>0</v>
      </c>
      <c r="O253" s="11">
        <v>51</v>
      </c>
      <c r="P253" s="6" t="b">
        <f t="shared" si="44"/>
        <v>0</v>
      </c>
      <c r="Q253" s="12">
        <v>254031</v>
      </c>
      <c r="R253" s="1">
        <f t="shared" si="39"/>
        <v>0</v>
      </c>
      <c r="S253" s="1">
        <f t="shared" si="40"/>
        <v>0</v>
      </c>
      <c r="T253" s="1">
        <f t="shared" si="41"/>
        <v>0</v>
      </c>
      <c r="U253" s="1">
        <f t="shared" si="42"/>
        <v>0</v>
      </c>
    </row>
    <row r="254" spans="1:21" ht="20" customHeight="1" x14ac:dyDescent="0.15">
      <c r="A254" s="8">
        <v>126</v>
      </c>
      <c r="B254" s="9" t="s">
        <v>38</v>
      </c>
      <c r="C254" s="41">
        <f t="shared" si="37"/>
        <v>44239</v>
      </c>
      <c r="D254" s="10" t="s">
        <v>19</v>
      </c>
      <c r="E254" s="36" t="str">
        <f t="shared" si="34"/>
        <v>youtube_blogger</v>
      </c>
      <c r="F254" s="10" t="s">
        <v>20</v>
      </c>
      <c r="G254" s="11">
        <v>10934</v>
      </c>
      <c r="H254" s="11">
        <v>1299708</v>
      </c>
      <c r="I254" s="12">
        <v>121652</v>
      </c>
      <c r="J254" s="40">
        <f t="shared" si="35"/>
        <v>1.3844648182514841E-2</v>
      </c>
      <c r="K254" s="11">
        <v>17994</v>
      </c>
      <c r="L254" s="6" t="b">
        <f t="shared" si="36"/>
        <v>0</v>
      </c>
      <c r="M254" s="11">
        <v>378</v>
      </c>
      <c r="N254" s="6" t="b">
        <f t="shared" si="38"/>
        <v>0</v>
      </c>
      <c r="O254" s="11">
        <v>61</v>
      </c>
      <c r="P254" s="6" t="b">
        <f t="shared" si="44"/>
        <v>0</v>
      </c>
      <c r="Q254" s="12">
        <v>486841</v>
      </c>
      <c r="R254" s="1">
        <f t="shared" si="39"/>
        <v>0</v>
      </c>
      <c r="S254" s="1">
        <f t="shared" si="40"/>
        <v>0</v>
      </c>
      <c r="T254" s="1">
        <f t="shared" si="41"/>
        <v>0</v>
      </c>
      <c r="U254" s="1">
        <f t="shared" si="42"/>
        <v>0</v>
      </c>
    </row>
    <row r="255" spans="1:21" ht="20" customHeight="1" x14ac:dyDescent="0.15">
      <c r="A255" s="8">
        <v>300</v>
      </c>
      <c r="B255" s="9" t="s">
        <v>54</v>
      </c>
      <c r="C255" s="41">
        <f t="shared" si="37"/>
        <v>44255</v>
      </c>
      <c r="D255" s="10" t="s">
        <v>16</v>
      </c>
      <c r="E255" s="36" t="str">
        <f t="shared" si="34"/>
        <v>google_hot</v>
      </c>
      <c r="F255" s="10" t="s">
        <v>17</v>
      </c>
      <c r="G255" s="11">
        <v>89459845</v>
      </c>
      <c r="H255" s="11">
        <v>11554</v>
      </c>
      <c r="I255" s="13">
        <v>3529.73</v>
      </c>
      <c r="J255" s="40">
        <f t="shared" si="35"/>
        <v>1.6184871040332352E-2</v>
      </c>
      <c r="K255" s="11">
        <v>187</v>
      </c>
      <c r="L255" s="6" t="b">
        <f t="shared" si="36"/>
        <v>0</v>
      </c>
      <c r="M255" s="11">
        <v>5</v>
      </c>
      <c r="N255" s="6" t="b">
        <f t="shared" si="38"/>
        <v>0</v>
      </c>
      <c r="O255" s="11">
        <v>1</v>
      </c>
      <c r="P255" s="6" t="b">
        <f t="shared" si="44"/>
        <v>0</v>
      </c>
      <c r="Q255" s="12">
        <v>8714</v>
      </c>
      <c r="R255" s="1">
        <f t="shared" si="39"/>
        <v>0</v>
      </c>
      <c r="S255" s="1">
        <f t="shared" si="40"/>
        <v>0</v>
      </c>
      <c r="T255" s="1">
        <f t="shared" si="41"/>
        <v>0</v>
      </c>
      <c r="U255" s="1">
        <f t="shared" si="42"/>
        <v>0</v>
      </c>
    </row>
    <row r="256" spans="1:21" ht="20" customHeight="1" x14ac:dyDescent="0.15">
      <c r="A256" s="8">
        <v>102</v>
      </c>
      <c r="B256" s="9" t="s">
        <v>36</v>
      </c>
      <c r="C256" s="41">
        <f t="shared" si="37"/>
        <v>44237</v>
      </c>
      <c r="D256" s="10" t="s">
        <v>16</v>
      </c>
      <c r="E256" s="36" t="str">
        <f t="shared" si="34"/>
        <v>google_hot</v>
      </c>
      <c r="F256" s="10" t="s">
        <v>17</v>
      </c>
      <c r="G256" s="11">
        <v>89459845</v>
      </c>
      <c r="H256" s="11">
        <v>108748</v>
      </c>
      <c r="I256" s="12">
        <v>51883.1</v>
      </c>
      <c r="J256" s="40">
        <f t="shared" si="35"/>
        <v>1.6524441828815243E-2</v>
      </c>
      <c r="K256" s="11">
        <v>1797</v>
      </c>
      <c r="L256" s="6" t="b">
        <f t="shared" si="36"/>
        <v>0</v>
      </c>
      <c r="M256" s="11">
        <v>57</v>
      </c>
      <c r="N256" s="6" t="b">
        <f t="shared" si="38"/>
        <v>0</v>
      </c>
      <c r="O256" s="11">
        <v>11</v>
      </c>
      <c r="P256" s="6" t="b">
        <f t="shared" si="44"/>
        <v>0</v>
      </c>
      <c r="Q256" s="12">
        <v>86724</v>
      </c>
      <c r="R256" s="1">
        <f t="shared" si="39"/>
        <v>0</v>
      </c>
      <c r="S256" s="1">
        <f t="shared" si="40"/>
        <v>0</v>
      </c>
      <c r="T256" s="1">
        <f t="shared" si="41"/>
        <v>0</v>
      </c>
      <c r="U256" s="1">
        <f t="shared" si="42"/>
        <v>0</v>
      </c>
    </row>
    <row r="257" spans="1:21" ht="20" customHeight="1" x14ac:dyDescent="0.15">
      <c r="A257" s="8">
        <v>179</v>
      </c>
      <c r="B257" s="9" t="s">
        <v>43</v>
      </c>
      <c r="C257" s="41">
        <f t="shared" si="37"/>
        <v>44244</v>
      </c>
      <c r="D257" s="10" t="s">
        <v>16</v>
      </c>
      <c r="E257" s="36" t="str">
        <f t="shared" si="34"/>
        <v>google_hot</v>
      </c>
      <c r="F257" s="10" t="s">
        <v>17</v>
      </c>
      <c r="G257" s="11">
        <v>89459845</v>
      </c>
      <c r="H257" s="11">
        <v>490058</v>
      </c>
      <c r="I257" s="12">
        <v>116213</v>
      </c>
      <c r="J257" s="40">
        <f t="shared" si="35"/>
        <v>1.653681809091985E-2</v>
      </c>
      <c r="K257" s="11">
        <v>8104</v>
      </c>
      <c r="L257" s="6" t="b">
        <f t="shared" si="36"/>
        <v>0</v>
      </c>
      <c r="M257" s="11">
        <v>162</v>
      </c>
      <c r="N257" s="6" t="b">
        <f t="shared" si="38"/>
        <v>0</v>
      </c>
      <c r="O257" s="11">
        <v>31</v>
      </c>
      <c r="P257" s="6" t="b">
        <f t="shared" si="44"/>
        <v>0</v>
      </c>
      <c r="Q257" s="12">
        <v>227726</v>
      </c>
      <c r="R257" s="1">
        <f t="shared" si="39"/>
        <v>0</v>
      </c>
      <c r="S257" s="1">
        <f t="shared" si="40"/>
        <v>0</v>
      </c>
      <c r="T257" s="1">
        <f t="shared" si="41"/>
        <v>0</v>
      </c>
      <c r="U257" s="1">
        <f t="shared" si="42"/>
        <v>0</v>
      </c>
    </row>
    <row r="258" spans="1:21" ht="20" customHeight="1" x14ac:dyDescent="0.15">
      <c r="A258" s="8">
        <v>190</v>
      </c>
      <c r="B258" s="9" t="s">
        <v>44</v>
      </c>
      <c r="C258" s="41">
        <f t="shared" si="37"/>
        <v>44245</v>
      </c>
      <c r="D258" s="10" t="s">
        <v>16</v>
      </c>
      <c r="E258" s="36" t="str">
        <f t="shared" si="34"/>
        <v>google_hot</v>
      </c>
      <c r="F258" s="10" t="s">
        <v>17</v>
      </c>
      <c r="G258" s="11">
        <v>89459845</v>
      </c>
      <c r="H258" s="11">
        <v>527210</v>
      </c>
      <c r="I258" s="12">
        <v>119542</v>
      </c>
      <c r="J258" s="40">
        <f t="shared" si="35"/>
        <v>1.7078583486656172E-2</v>
      </c>
      <c r="K258" s="11">
        <v>9004</v>
      </c>
      <c r="L258" s="6" t="b">
        <f t="shared" si="36"/>
        <v>0</v>
      </c>
      <c r="M258" s="11">
        <v>162</v>
      </c>
      <c r="N258" s="6" t="b">
        <f t="shared" si="38"/>
        <v>0</v>
      </c>
      <c r="O258" s="11">
        <v>28</v>
      </c>
      <c r="P258" s="6" t="b">
        <f t="shared" si="44"/>
        <v>0</v>
      </c>
      <c r="Q258" s="12">
        <v>214368</v>
      </c>
      <c r="R258" s="1">
        <f t="shared" si="39"/>
        <v>0</v>
      </c>
      <c r="S258" s="1">
        <f t="shared" si="40"/>
        <v>0</v>
      </c>
      <c r="T258" s="1">
        <f t="shared" si="41"/>
        <v>0</v>
      </c>
      <c r="U258" s="1">
        <f t="shared" si="42"/>
        <v>0</v>
      </c>
    </row>
    <row r="259" spans="1:21" ht="20" customHeight="1" x14ac:dyDescent="0.15">
      <c r="A259" s="8">
        <v>80</v>
      </c>
      <c r="B259" s="9" t="s">
        <v>34</v>
      </c>
      <c r="C259" s="41">
        <f t="shared" si="37"/>
        <v>44235</v>
      </c>
      <c r="D259" s="10" t="s">
        <v>16</v>
      </c>
      <c r="E259" s="36" t="str">
        <f t="shared" ref="E259:E322" si="45">TRIM(LOWER(D259))</f>
        <v>google_hot</v>
      </c>
      <c r="F259" s="10" t="s">
        <v>17</v>
      </c>
      <c r="G259" s="11">
        <v>89459845</v>
      </c>
      <c r="H259" s="11">
        <v>51350</v>
      </c>
      <c r="I259" s="13">
        <v>6918.85</v>
      </c>
      <c r="J259" s="40">
        <f t="shared" ref="J259:J322" si="46">(K259)/(H259)</f>
        <v>1.7604673807205453E-2</v>
      </c>
      <c r="K259" s="11">
        <v>904</v>
      </c>
      <c r="L259" s="6" t="b">
        <f t="shared" ref="L259:L322" si="47">(K259)&gt;(H259)</f>
        <v>0</v>
      </c>
      <c r="M259" s="11">
        <v>20</v>
      </c>
      <c r="N259" s="6" t="b">
        <f t="shared" si="38"/>
        <v>0</v>
      </c>
      <c r="O259" s="11">
        <v>2</v>
      </c>
      <c r="P259" s="6" t="b">
        <f t="shared" si="44"/>
        <v>0</v>
      </c>
      <c r="Q259" s="12">
        <v>16240</v>
      </c>
      <c r="R259" s="1">
        <f t="shared" si="39"/>
        <v>0</v>
      </c>
      <c r="S259" s="1">
        <f t="shared" si="40"/>
        <v>0</v>
      </c>
      <c r="T259" s="1">
        <f t="shared" si="41"/>
        <v>0</v>
      </c>
      <c r="U259" s="1">
        <f t="shared" si="42"/>
        <v>0</v>
      </c>
    </row>
    <row r="260" spans="1:21" ht="20" customHeight="1" x14ac:dyDescent="0.15">
      <c r="A260" s="8">
        <v>289</v>
      </c>
      <c r="B260" s="9" t="s">
        <v>53</v>
      </c>
      <c r="C260" s="41">
        <f t="shared" ref="C260:C310" si="48">DATEVALUE(B260)</f>
        <v>44254</v>
      </c>
      <c r="D260" s="10" t="s">
        <v>16</v>
      </c>
      <c r="E260" s="36" t="str">
        <f t="shared" si="45"/>
        <v>google_hot</v>
      </c>
      <c r="F260" s="10" t="s">
        <v>17</v>
      </c>
      <c r="G260" s="11">
        <v>89459845</v>
      </c>
      <c r="H260" s="11">
        <v>4662</v>
      </c>
      <c r="I260" s="13">
        <v>1754.25</v>
      </c>
      <c r="J260" s="40">
        <f t="shared" si="46"/>
        <v>1.7803517803517802E-2</v>
      </c>
      <c r="K260" s="11">
        <v>83</v>
      </c>
      <c r="L260" s="6" t="b">
        <f t="shared" si="47"/>
        <v>0</v>
      </c>
      <c r="M260" s="11">
        <v>2</v>
      </c>
      <c r="N260" s="6" t="b">
        <f t="shared" ref="N260:N323" si="49">(M260)&gt;(K260)</f>
        <v>0</v>
      </c>
      <c r="O260" s="11">
        <v>0</v>
      </c>
      <c r="P260" s="6" t="b">
        <f t="shared" si="44"/>
        <v>0</v>
      </c>
      <c r="Q260" s="12">
        <v>0</v>
      </c>
      <c r="R260" s="1">
        <f t="shared" ref="R260:R310" si="50">MOD(H260, 1)</f>
        <v>0</v>
      </c>
      <c r="S260" s="1">
        <f t="shared" ref="S260:S310" si="51">MOD(K260, 1)</f>
        <v>0</v>
      </c>
      <c r="T260" s="1">
        <f t="shared" ref="T260:T310" si="52">MOD(M260,1)</f>
        <v>0</v>
      </c>
      <c r="U260" s="1">
        <f t="shared" ref="U260:U310" si="53">MOD(O260,1)</f>
        <v>0</v>
      </c>
    </row>
    <row r="261" spans="1:21" ht="20" customHeight="1" x14ac:dyDescent="0.15">
      <c r="A261" s="8">
        <v>223</v>
      </c>
      <c r="B261" s="9" t="s">
        <v>47</v>
      </c>
      <c r="C261" s="41">
        <f t="shared" si="48"/>
        <v>44248</v>
      </c>
      <c r="D261" s="10" t="s">
        <v>16</v>
      </c>
      <c r="E261" s="36" t="str">
        <f t="shared" si="45"/>
        <v>google_hot</v>
      </c>
      <c r="F261" s="10" t="s">
        <v>17</v>
      </c>
      <c r="G261" s="11">
        <v>89459845</v>
      </c>
      <c r="H261" s="11">
        <v>49655</v>
      </c>
      <c r="I261" s="13">
        <v>9444.1200000000008</v>
      </c>
      <c r="J261" s="40">
        <f t="shared" si="46"/>
        <v>1.8266035645957104E-2</v>
      </c>
      <c r="K261" s="11">
        <v>907</v>
      </c>
      <c r="L261" s="6" t="b">
        <f t="shared" si="47"/>
        <v>0</v>
      </c>
      <c r="M261" s="11">
        <v>18</v>
      </c>
      <c r="N261" s="6" t="b">
        <f t="shared" si="49"/>
        <v>0</v>
      </c>
      <c r="O261" s="11">
        <v>2</v>
      </c>
      <c r="P261" s="6" t="b">
        <f t="shared" si="44"/>
        <v>0</v>
      </c>
      <c r="Q261" s="12">
        <v>15962</v>
      </c>
      <c r="R261" s="1">
        <f t="shared" si="50"/>
        <v>0</v>
      </c>
      <c r="S261" s="1">
        <f t="shared" si="51"/>
        <v>0</v>
      </c>
      <c r="T261" s="1">
        <f t="shared" si="52"/>
        <v>0</v>
      </c>
      <c r="U261" s="1">
        <f t="shared" si="53"/>
        <v>0</v>
      </c>
    </row>
    <row r="262" spans="1:21" ht="20" customHeight="1" x14ac:dyDescent="0.15">
      <c r="A262" s="8">
        <v>36</v>
      </c>
      <c r="B262" s="9" t="s">
        <v>30</v>
      </c>
      <c r="C262" s="41">
        <f t="shared" si="48"/>
        <v>44231</v>
      </c>
      <c r="D262" s="10" t="s">
        <v>16</v>
      </c>
      <c r="E262" s="36" t="str">
        <f t="shared" si="45"/>
        <v>google_hot</v>
      </c>
      <c r="F262" s="10" t="s">
        <v>17</v>
      </c>
      <c r="G262" s="11">
        <v>89459845</v>
      </c>
      <c r="H262" s="11">
        <v>196484</v>
      </c>
      <c r="I262" s="12">
        <v>41269.599999999999</v>
      </c>
      <c r="J262" s="40">
        <f t="shared" si="46"/>
        <v>1.8317013090124387E-2</v>
      </c>
      <c r="K262" s="11">
        <v>3599</v>
      </c>
      <c r="L262" s="6" t="b">
        <f t="shared" si="47"/>
        <v>0</v>
      </c>
      <c r="M262" s="11">
        <v>55</v>
      </c>
      <c r="N262" s="6" t="b">
        <f t="shared" si="49"/>
        <v>0</v>
      </c>
      <c r="O262" s="11">
        <v>9</v>
      </c>
      <c r="P262" s="6" t="b">
        <f t="shared" si="44"/>
        <v>0</v>
      </c>
      <c r="Q262" s="12">
        <v>68589</v>
      </c>
      <c r="R262" s="1">
        <f t="shared" si="50"/>
        <v>0</v>
      </c>
      <c r="S262" s="1">
        <f t="shared" si="51"/>
        <v>0</v>
      </c>
      <c r="T262" s="1">
        <f t="shared" si="52"/>
        <v>0</v>
      </c>
      <c r="U262" s="1">
        <f t="shared" si="53"/>
        <v>0</v>
      </c>
    </row>
    <row r="263" spans="1:21" ht="20" customHeight="1" x14ac:dyDescent="0.15">
      <c r="A263" s="8">
        <v>47</v>
      </c>
      <c r="B263" s="9" t="s">
        <v>31</v>
      </c>
      <c r="C263" s="41">
        <f t="shared" si="48"/>
        <v>44232</v>
      </c>
      <c r="D263" s="10" t="s">
        <v>16</v>
      </c>
      <c r="E263" s="36" t="str">
        <f t="shared" si="45"/>
        <v>google_hot</v>
      </c>
      <c r="F263" s="10" t="s">
        <v>17</v>
      </c>
      <c r="G263" s="11">
        <v>89459845</v>
      </c>
      <c r="H263" s="11">
        <v>236719</v>
      </c>
      <c r="I263" s="12">
        <v>96930.6</v>
      </c>
      <c r="J263" s="40">
        <f t="shared" si="46"/>
        <v>1.902677858558037E-2</v>
      </c>
      <c r="K263" s="11">
        <v>4504</v>
      </c>
      <c r="L263" s="6" t="b">
        <f t="shared" si="47"/>
        <v>0</v>
      </c>
      <c r="M263" s="11">
        <v>151</v>
      </c>
      <c r="N263" s="6" t="b">
        <f t="shared" si="49"/>
        <v>0</v>
      </c>
      <c r="O263" s="11">
        <v>23</v>
      </c>
      <c r="P263" s="6" t="b">
        <f t="shared" si="44"/>
        <v>0</v>
      </c>
      <c r="Q263" s="12">
        <v>177882</v>
      </c>
      <c r="R263" s="1">
        <f t="shared" si="50"/>
        <v>0</v>
      </c>
      <c r="S263" s="1">
        <f t="shared" si="51"/>
        <v>0</v>
      </c>
      <c r="T263" s="1">
        <f t="shared" si="52"/>
        <v>0</v>
      </c>
      <c r="U263" s="1">
        <f t="shared" si="53"/>
        <v>0</v>
      </c>
    </row>
    <row r="264" spans="1:21" ht="20" customHeight="1" x14ac:dyDescent="0.15">
      <c r="A264" s="8">
        <v>168</v>
      </c>
      <c r="B264" s="9" t="s">
        <v>42</v>
      </c>
      <c r="C264" s="41">
        <f t="shared" si="48"/>
        <v>44243</v>
      </c>
      <c r="D264" s="10" t="s">
        <v>16</v>
      </c>
      <c r="E264" s="36" t="str">
        <f t="shared" si="45"/>
        <v>google_hot</v>
      </c>
      <c r="F264" s="10" t="s">
        <v>17</v>
      </c>
      <c r="G264" s="11">
        <v>89459845</v>
      </c>
      <c r="H264" s="11">
        <v>373184</v>
      </c>
      <c r="I264" s="12">
        <v>102053</v>
      </c>
      <c r="J264" s="40">
        <f t="shared" si="46"/>
        <v>1.9288072371805864E-2</v>
      </c>
      <c r="K264" s="11">
        <v>7198</v>
      </c>
      <c r="L264" s="6" t="b">
        <f t="shared" si="47"/>
        <v>0</v>
      </c>
      <c r="M264" s="11">
        <v>144</v>
      </c>
      <c r="N264" s="6" t="b">
        <f t="shared" si="49"/>
        <v>0</v>
      </c>
      <c r="O264" s="11">
        <v>22</v>
      </c>
      <c r="P264" s="6" t="b">
        <f t="shared" si="44"/>
        <v>0</v>
      </c>
      <c r="Q264" s="12">
        <v>185482</v>
      </c>
      <c r="R264" s="1">
        <f t="shared" si="50"/>
        <v>0</v>
      </c>
      <c r="S264" s="1">
        <f t="shared" si="51"/>
        <v>0</v>
      </c>
      <c r="T264" s="1">
        <f t="shared" si="52"/>
        <v>0</v>
      </c>
      <c r="U264" s="1">
        <f t="shared" si="53"/>
        <v>0</v>
      </c>
    </row>
    <row r="265" spans="1:21" ht="20" customHeight="1" x14ac:dyDescent="0.15">
      <c r="A265" s="8">
        <v>245</v>
      </c>
      <c r="B265" s="9" t="s">
        <v>49</v>
      </c>
      <c r="C265" s="41">
        <f t="shared" si="48"/>
        <v>44250</v>
      </c>
      <c r="D265" s="10" t="s">
        <v>16</v>
      </c>
      <c r="E265" s="36" t="str">
        <f t="shared" si="45"/>
        <v>google_hot</v>
      </c>
      <c r="F265" s="10" t="s">
        <v>17</v>
      </c>
      <c r="G265" s="11">
        <v>89459845</v>
      </c>
      <c r="H265" s="11">
        <v>22175</v>
      </c>
      <c r="I265" s="13">
        <v>5409.21</v>
      </c>
      <c r="J265" s="40">
        <f t="shared" si="46"/>
        <v>1.9932356257046223E-2</v>
      </c>
      <c r="K265" s="11">
        <v>442</v>
      </c>
      <c r="L265" s="6" t="b">
        <f t="shared" si="47"/>
        <v>0</v>
      </c>
      <c r="M265" s="11">
        <v>9</v>
      </c>
      <c r="N265" s="6" t="b">
        <f t="shared" si="49"/>
        <v>0</v>
      </c>
      <c r="O265" s="11">
        <v>2</v>
      </c>
      <c r="P265" s="6" t="b">
        <f t="shared" si="44"/>
        <v>0</v>
      </c>
      <c r="Q265" s="12">
        <v>15050</v>
      </c>
      <c r="R265" s="1">
        <f t="shared" si="50"/>
        <v>0</v>
      </c>
      <c r="S265" s="1">
        <f t="shared" si="51"/>
        <v>0</v>
      </c>
      <c r="T265" s="1">
        <f t="shared" si="52"/>
        <v>0</v>
      </c>
      <c r="U265" s="1">
        <f t="shared" si="53"/>
        <v>0</v>
      </c>
    </row>
    <row r="266" spans="1:21" ht="20" customHeight="1" x14ac:dyDescent="0.15">
      <c r="A266" s="8">
        <v>3</v>
      </c>
      <c r="B266" s="9" t="s">
        <v>12</v>
      </c>
      <c r="C266" s="41">
        <f t="shared" si="48"/>
        <v>44228</v>
      </c>
      <c r="D266" s="10" t="s">
        <v>16</v>
      </c>
      <c r="E266" s="36" t="str">
        <f t="shared" si="45"/>
        <v>google_hot</v>
      </c>
      <c r="F266" s="10" t="s">
        <v>17</v>
      </c>
      <c r="G266" s="11">
        <v>89459845</v>
      </c>
      <c r="H266" s="11">
        <v>22850</v>
      </c>
      <c r="I266" s="12">
        <v>5221.6000000000004</v>
      </c>
      <c r="J266" s="40">
        <f t="shared" si="46"/>
        <v>0.02</v>
      </c>
      <c r="K266" s="11">
        <v>457</v>
      </c>
      <c r="L266" s="6" t="b">
        <f t="shared" si="47"/>
        <v>0</v>
      </c>
      <c r="M266" s="11">
        <v>9</v>
      </c>
      <c r="N266" s="6" t="b">
        <f t="shared" si="49"/>
        <v>0</v>
      </c>
      <c r="O266" s="11">
        <v>1</v>
      </c>
      <c r="P266" s="6" t="b">
        <f t="shared" si="44"/>
        <v>0</v>
      </c>
      <c r="Q266" s="12">
        <v>7981</v>
      </c>
      <c r="R266" s="1">
        <f t="shared" si="50"/>
        <v>0</v>
      </c>
      <c r="S266" s="1">
        <f t="shared" si="51"/>
        <v>0</v>
      </c>
      <c r="T266" s="1">
        <f t="shared" si="52"/>
        <v>0</v>
      </c>
      <c r="U266" s="1">
        <f t="shared" si="53"/>
        <v>0</v>
      </c>
    </row>
    <row r="267" spans="1:21" ht="20" customHeight="1" x14ac:dyDescent="0.15">
      <c r="A267" s="8">
        <v>25</v>
      </c>
      <c r="B267" s="9" t="s">
        <v>29</v>
      </c>
      <c r="C267" s="41">
        <f t="shared" si="48"/>
        <v>44230</v>
      </c>
      <c r="D267" s="10" t="s">
        <v>16</v>
      </c>
      <c r="E267" s="36" t="str">
        <f t="shared" si="45"/>
        <v>google_hot</v>
      </c>
      <c r="F267" s="10" t="s">
        <v>17</v>
      </c>
      <c r="G267" s="11">
        <v>89459845</v>
      </c>
      <c r="H267" s="11">
        <v>134900</v>
      </c>
      <c r="I267" s="12">
        <v>77345.5</v>
      </c>
      <c r="J267" s="40">
        <f t="shared" si="46"/>
        <v>0.02</v>
      </c>
      <c r="K267" s="11">
        <v>2698</v>
      </c>
      <c r="L267" s="6" t="b">
        <f t="shared" si="47"/>
        <v>0</v>
      </c>
      <c r="M267" s="11">
        <v>84</v>
      </c>
      <c r="N267" s="6" t="b">
        <f t="shared" si="49"/>
        <v>0</v>
      </c>
      <c r="O267" s="11">
        <v>16</v>
      </c>
      <c r="P267" s="6" t="b">
        <f t="shared" si="44"/>
        <v>0</v>
      </c>
      <c r="Q267" s="12">
        <v>115856</v>
      </c>
      <c r="R267" s="1">
        <f t="shared" si="50"/>
        <v>0</v>
      </c>
      <c r="S267" s="1">
        <f t="shared" si="51"/>
        <v>0</v>
      </c>
      <c r="T267" s="1">
        <f t="shared" si="52"/>
        <v>0</v>
      </c>
      <c r="U267" s="1">
        <f t="shared" si="53"/>
        <v>0</v>
      </c>
    </row>
    <row r="268" spans="1:21" ht="20" customHeight="1" x14ac:dyDescent="0.15">
      <c r="A268" s="8">
        <v>58</v>
      </c>
      <c r="B268" s="9" t="s">
        <v>32</v>
      </c>
      <c r="C268" s="41">
        <f t="shared" si="48"/>
        <v>44233</v>
      </c>
      <c r="D268" s="10" t="s">
        <v>16</v>
      </c>
      <c r="E268" s="36" t="str">
        <f t="shared" si="45"/>
        <v>google_hot</v>
      </c>
      <c r="F268" s="10" t="s">
        <v>17</v>
      </c>
      <c r="G268" s="11">
        <v>89459845</v>
      </c>
      <c r="H268" s="11">
        <v>44950</v>
      </c>
      <c r="I268" s="13">
        <v>6768.87</v>
      </c>
      <c r="J268" s="40">
        <f t="shared" si="46"/>
        <v>0.02</v>
      </c>
      <c r="K268" s="11">
        <v>899</v>
      </c>
      <c r="L268" s="6" t="b">
        <f t="shared" si="47"/>
        <v>0</v>
      </c>
      <c r="M268" s="11">
        <v>13</v>
      </c>
      <c r="N268" s="6" t="b">
        <f t="shared" si="49"/>
        <v>0</v>
      </c>
      <c r="O268" s="11">
        <v>1</v>
      </c>
      <c r="P268" s="6" t="b">
        <f t="shared" si="44"/>
        <v>0</v>
      </c>
      <c r="Q268" s="12">
        <v>8136</v>
      </c>
      <c r="R268" s="1">
        <f t="shared" si="50"/>
        <v>0</v>
      </c>
      <c r="S268" s="1">
        <f t="shared" si="51"/>
        <v>0</v>
      </c>
      <c r="T268" s="1">
        <f t="shared" si="52"/>
        <v>0</v>
      </c>
      <c r="U268" s="1">
        <f t="shared" si="53"/>
        <v>0</v>
      </c>
    </row>
    <row r="269" spans="1:21" ht="20" customHeight="1" x14ac:dyDescent="0.15">
      <c r="A269" s="8">
        <v>69</v>
      </c>
      <c r="B269" s="9" t="s">
        <v>33</v>
      </c>
      <c r="C269" s="41">
        <f t="shared" si="48"/>
        <v>44234</v>
      </c>
      <c r="D269" s="10" t="s">
        <v>16</v>
      </c>
      <c r="E269" s="36" t="str">
        <f t="shared" si="45"/>
        <v>google_hot</v>
      </c>
      <c r="F269" s="10" t="s">
        <v>17</v>
      </c>
      <c r="G269" s="11">
        <v>89459845</v>
      </c>
      <c r="H269" s="11">
        <v>44650</v>
      </c>
      <c r="I269" s="12">
        <v>6426</v>
      </c>
      <c r="J269" s="40">
        <f t="shared" si="46"/>
        <v>0.02</v>
      </c>
      <c r="K269" s="11">
        <v>893</v>
      </c>
      <c r="L269" s="6" t="b">
        <f t="shared" si="47"/>
        <v>0</v>
      </c>
      <c r="M269" s="11">
        <v>18</v>
      </c>
      <c r="N269" s="6" t="b">
        <f t="shared" si="49"/>
        <v>0</v>
      </c>
      <c r="O269" s="11">
        <v>2</v>
      </c>
      <c r="P269" s="6" t="b">
        <f t="shared" si="44"/>
        <v>0</v>
      </c>
      <c r="Q269" s="12">
        <v>14152</v>
      </c>
      <c r="R269" s="1">
        <f t="shared" si="50"/>
        <v>0</v>
      </c>
      <c r="S269" s="1">
        <f t="shared" si="51"/>
        <v>0</v>
      </c>
      <c r="T269" s="1">
        <f t="shared" si="52"/>
        <v>0</v>
      </c>
      <c r="U269" s="1">
        <f t="shared" si="53"/>
        <v>0</v>
      </c>
    </row>
    <row r="270" spans="1:21" ht="20" customHeight="1" x14ac:dyDescent="0.15">
      <c r="A270" s="8">
        <v>91</v>
      </c>
      <c r="B270" s="9" t="s">
        <v>35</v>
      </c>
      <c r="C270" s="41">
        <f t="shared" si="48"/>
        <v>44236</v>
      </c>
      <c r="D270" s="10" t="s">
        <v>16</v>
      </c>
      <c r="E270" s="36" t="str">
        <f t="shared" si="45"/>
        <v>google_hot</v>
      </c>
      <c r="F270" s="10" t="s">
        <v>17</v>
      </c>
      <c r="G270" s="11">
        <v>89459845</v>
      </c>
      <c r="H270" s="11">
        <v>44900</v>
      </c>
      <c r="I270" s="13">
        <v>3095.21</v>
      </c>
      <c r="J270" s="40">
        <f t="shared" si="46"/>
        <v>0.02</v>
      </c>
      <c r="K270" s="11">
        <v>898</v>
      </c>
      <c r="L270" s="6" t="b">
        <f t="shared" si="47"/>
        <v>0</v>
      </c>
      <c r="M270" s="11">
        <v>5</v>
      </c>
      <c r="N270" s="6" t="b">
        <f t="shared" si="49"/>
        <v>0</v>
      </c>
      <c r="O270" s="11">
        <v>1</v>
      </c>
      <c r="P270" s="6" t="b">
        <f t="shared" si="44"/>
        <v>0</v>
      </c>
      <c r="Q270" s="12">
        <v>7998</v>
      </c>
      <c r="R270" s="1">
        <f t="shared" si="50"/>
        <v>0</v>
      </c>
      <c r="S270" s="1">
        <f t="shared" si="51"/>
        <v>0</v>
      </c>
      <c r="T270" s="1">
        <f t="shared" si="52"/>
        <v>0</v>
      </c>
      <c r="U270" s="1">
        <f t="shared" si="53"/>
        <v>0</v>
      </c>
    </row>
    <row r="271" spans="1:21" ht="20" customHeight="1" x14ac:dyDescent="0.15">
      <c r="A271" s="8">
        <v>113</v>
      </c>
      <c r="B271" s="9" t="s">
        <v>37</v>
      </c>
      <c r="C271" s="41">
        <f t="shared" si="48"/>
        <v>44238</v>
      </c>
      <c r="D271" s="10" t="s">
        <v>16</v>
      </c>
      <c r="E271" s="36" t="str">
        <f t="shared" si="45"/>
        <v>google_hot</v>
      </c>
      <c r="F271" s="10" t="s">
        <v>17</v>
      </c>
      <c r="G271" s="11">
        <v>89459845</v>
      </c>
      <c r="H271" s="11">
        <v>134600</v>
      </c>
      <c r="I271" s="12">
        <v>26220.400000000001</v>
      </c>
      <c r="J271" s="40">
        <f t="shared" si="46"/>
        <v>0.02</v>
      </c>
      <c r="K271" s="11">
        <v>2692</v>
      </c>
      <c r="L271" s="6" t="b">
        <f t="shared" si="47"/>
        <v>0</v>
      </c>
      <c r="M271" s="11">
        <v>54</v>
      </c>
      <c r="N271" s="6" t="b">
        <f t="shared" si="49"/>
        <v>0</v>
      </c>
      <c r="O271" s="11">
        <v>6</v>
      </c>
      <c r="P271" s="6" t="b">
        <f t="shared" si="44"/>
        <v>0</v>
      </c>
      <c r="Q271" s="12">
        <v>48990</v>
      </c>
      <c r="R271" s="1">
        <f t="shared" si="50"/>
        <v>0</v>
      </c>
      <c r="S271" s="1">
        <f t="shared" si="51"/>
        <v>0</v>
      </c>
      <c r="T271" s="1">
        <f t="shared" si="52"/>
        <v>0</v>
      </c>
      <c r="U271" s="1">
        <f t="shared" si="53"/>
        <v>0</v>
      </c>
    </row>
    <row r="272" spans="1:21" ht="20" customHeight="1" x14ac:dyDescent="0.15">
      <c r="A272" s="8">
        <v>135</v>
      </c>
      <c r="B272" s="9" t="s">
        <v>39</v>
      </c>
      <c r="C272" s="41">
        <f t="shared" si="48"/>
        <v>44240</v>
      </c>
      <c r="D272" s="10" t="s">
        <v>16</v>
      </c>
      <c r="E272" s="36" t="str">
        <f t="shared" si="45"/>
        <v>google_hot</v>
      </c>
      <c r="F272" s="10" t="s">
        <v>17</v>
      </c>
      <c r="G272" s="11">
        <v>89459845</v>
      </c>
      <c r="H272" s="11">
        <v>225350</v>
      </c>
      <c r="I272" s="12">
        <v>61588.1</v>
      </c>
      <c r="J272" s="40">
        <f t="shared" si="46"/>
        <v>0.02</v>
      </c>
      <c r="K272" s="11">
        <v>4507</v>
      </c>
      <c r="L272" s="6" t="b">
        <f t="shared" si="47"/>
        <v>0</v>
      </c>
      <c r="M272" s="11">
        <v>100</v>
      </c>
      <c r="N272" s="6" t="b">
        <f t="shared" si="49"/>
        <v>0</v>
      </c>
      <c r="O272" s="11">
        <v>17</v>
      </c>
      <c r="P272" s="6" t="b">
        <f t="shared" si="44"/>
        <v>0</v>
      </c>
      <c r="Q272" s="12">
        <v>152660</v>
      </c>
      <c r="R272" s="1">
        <f t="shared" si="50"/>
        <v>0</v>
      </c>
      <c r="S272" s="1">
        <f t="shared" si="51"/>
        <v>0</v>
      </c>
      <c r="T272" s="1">
        <f t="shared" si="52"/>
        <v>0</v>
      </c>
      <c r="U272" s="1">
        <f t="shared" si="53"/>
        <v>0</v>
      </c>
    </row>
    <row r="273" spans="1:21" ht="20" customHeight="1" x14ac:dyDescent="0.15">
      <c r="A273" s="8">
        <v>157</v>
      </c>
      <c r="B273" s="9" t="s">
        <v>41</v>
      </c>
      <c r="C273" s="41">
        <f t="shared" si="48"/>
        <v>44242</v>
      </c>
      <c r="D273" s="10" t="s">
        <v>16</v>
      </c>
      <c r="E273" s="36" t="str">
        <f t="shared" si="45"/>
        <v>google_hot</v>
      </c>
      <c r="F273" s="10" t="s">
        <v>17</v>
      </c>
      <c r="G273" s="11">
        <v>89459845</v>
      </c>
      <c r="H273" s="11">
        <v>315350</v>
      </c>
      <c r="I273" s="12">
        <v>82930.7</v>
      </c>
      <c r="J273" s="40">
        <f t="shared" si="46"/>
        <v>0.02</v>
      </c>
      <c r="K273" s="11">
        <v>6307</v>
      </c>
      <c r="L273" s="6" t="b">
        <f t="shared" si="47"/>
        <v>0</v>
      </c>
      <c r="M273" s="11">
        <v>126</v>
      </c>
      <c r="N273" s="6" t="b">
        <f t="shared" si="49"/>
        <v>0</v>
      </c>
      <c r="O273" s="11">
        <v>19</v>
      </c>
      <c r="P273" s="6" t="b">
        <f t="shared" si="44"/>
        <v>0</v>
      </c>
      <c r="Q273" s="12">
        <v>138073</v>
      </c>
      <c r="R273" s="1">
        <f t="shared" si="50"/>
        <v>0</v>
      </c>
      <c r="S273" s="1">
        <f t="shared" si="51"/>
        <v>0</v>
      </c>
      <c r="T273" s="1">
        <f t="shared" si="52"/>
        <v>0</v>
      </c>
      <c r="U273" s="1">
        <f t="shared" si="53"/>
        <v>0</v>
      </c>
    </row>
    <row r="274" spans="1:21" ht="20" customHeight="1" x14ac:dyDescent="0.15">
      <c r="A274" s="8">
        <v>212</v>
      </c>
      <c r="B274" s="9" t="s">
        <v>46</v>
      </c>
      <c r="C274" s="41">
        <f t="shared" si="48"/>
        <v>44247</v>
      </c>
      <c r="D274" s="10" t="s">
        <v>16</v>
      </c>
      <c r="E274" s="36" t="str">
        <f t="shared" si="45"/>
        <v>google_hot</v>
      </c>
      <c r="F274" s="10" t="s">
        <v>17</v>
      </c>
      <c r="G274" s="11">
        <v>89459845</v>
      </c>
      <c r="H274" s="11">
        <v>540450</v>
      </c>
      <c r="I274" s="12">
        <v>190469</v>
      </c>
      <c r="J274" s="40">
        <f t="shared" si="46"/>
        <v>0.02</v>
      </c>
      <c r="K274" s="11">
        <v>10809</v>
      </c>
      <c r="L274" s="6" t="b">
        <f t="shared" si="47"/>
        <v>0</v>
      </c>
      <c r="M274" s="11">
        <v>359</v>
      </c>
      <c r="N274" s="6" t="b">
        <f t="shared" si="49"/>
        <v>0</v>
      </c>
      <c r="O274" s="11">
        <v>47</v>
      </c>
      <c r="P274" s="6" t="b">
        <f t="shared" si="44"/>
        <v>0</v>
      </c>
      <c r="Q274" s="12">
        <v>365378</v>
      </c>
      <c r="R274" s="1">
        <f t="shared" si="50"/>
        <v>0</v>
      </c>
      <c r="S274" s="1">
        <f t="shared" si="51"/>
        <v>0</v>
      </c>
      <c r="T274" s="1">
        <f t="shared" si="52"/>
        <v>0</v>
      </c>
      <c r="U274" s="1">
        <f t="shared" si="53"/>
        <v>0</v>
      </c>
    </row>
    <row r="275" spans="1:21" ht="20" customHeight="1" x14ac:dyDescent="0.15">
      <c r="A275" s="8">
        <v>234</v>
      </c>
      <c r="B275" s="9" t="s">
        <v>48</v>
      </c>
      <c r="C275" s="41">
        <f t="shared" si="48"/>
        <v>44249</v>
      </c>
      <c r="D275" s="10" t="s">
        <v>16</v>
      </c>
      <c r="E275" s="36" t="str">
        <f t="shared" si="45"/>
        <v>google_hot</v>
      </c>
      <c r="F275" s="10" t="s">
        <v>17</v>
      </c>
      <c r="G275" s="11">
        <v>89459845</v>
      </c>
      <c r="H275" s="11">
        <v>90500</v>
      </c>
      <c r="I275" s="12">
        <v>30645.4</v>
      </c>
      <c r="J275" s="40">
        <f t="shared" si="46"/>
        <v>0.02</v>
      </c>
      <c r="K275" s="11">
        <v>1810</v>
      </c>
      <c r="L275" s="6" t="b">
        <f t="shared" si="47"/>
        <v>0</v>
      </c>
      <c r="M275" s="11">
        <v>65</v>
      </c>
      <c r="N275" s="6" t="b">
        <f t="shared" si="49"/>
        <v>0</v>
      </c>
      <c r="O275" s="11">
        <v>7</v>
      </c>
      <c r="P275" s="6" t="b">
        <f t="shared" si="44"/>
        <v>0</v>
      </c>
      <c r="Q275" s="12">
        <v>59045</v>
      </c>
      <c r="R275" s="1">
        <f t="shared" si="50"/>
        <v>0</v>
      </c>
      <c r="S275" s="1">
        <f t="shared" si="51"/>
        <v>0</v>
      </c>
      <c r="T275" s="1">
        <f t="shared" si="52"/>
        <v>0</v>
      </c>
      <c r="U275" s="1">
        <f t="shared" si="53"/>
        <v>0</v>
      </c>
    </row>
    <row r="276" spans="1:21" ht="20" customHeight="1" x14ac:dyDescent="0.15">
      <c r="A276" s="8">
        <v>256</v>
      </c>
      <c r="B276" s="9" t="s">
        <v>50</v>
      </c>
      <c r="C276" s="41">
        <f t="shared" si="48"/>
        <v>44251</v>
      </c>
      <c r="D276" s="10" t="s">
        <v>16</v>
      </c>
      <c r="E276" s="36" t="str">
        <f t="shared" si="45"/>
        <v>google_hot</v>
      </c>
      <c r="F276" s="10" t="s">
        <v>17</v>
      </c>
      <c r="G276" s="11">
        <v>89459845</v>
      </c>
      <c r="H276" s="11">
        <v>45150</v>
      </c>
      <c r="I276" s="12">
        <v>14306.2</v>
      </c>
      <c r="J276" s="40">
        <f t="shared" si="46"/>
        <v>0.02</v>
      </c>
      <c r="K276" s="11">
        <v>903</v>
      </c>
      <c r="L276" s="6" t="b">
        <f t="shared" si="47"/>
        <v>0</v>
      </c>
      <c r="M276" s="11">
        <v>18</v>
      </c>
      <c r="N276" s="6" t="b">
        <f t="shared" si="49"/>
        <v>0</v>
      </c>
      <c r="O276" s="11">
        <v>3</v>
      </c>
      <c r="P276" s="6" t="b">
        <f t="shared" si="44"/>
        <v>0</v>
      </c>
      <c r="Q276" s="12">
        <v>23943</v>
      </c>
      <c r="R276" s="1">
        <f t="shared" si="50"/>
        <v>0</v>
      </c>
      <c r="S276" s="1">
        <f t="shared" si="51"/>
        <v>0</v>
      </c>
      <c r="T276" s="1">
        <f t="shared" si="52"/>
        <v>0</v>
      </c>
      <c r="U276" s="1">
        <f t="shared" si="53"/>
        <v>0</v>
      </c>
    </row>
    <row r="277" spans="1:21" ht="20" customHeight="1" x14ac:dyDescent="0.15">
      <c r="A277" s="8">
        <v>267</v>
      </c>
      <c r="B277" s="9" t="s">
        <v>51</v>
      </c>
      <c r="C277" s="41">
        <f t="shared" si="48"/>
        <v>44252</v>
      </c>
      <c r="D277" s="10" t="s">
        <v>16</v>
      </c>
      <c r="E277" s="36" t="str">
        <f t="shared" si="45"/>
        <v>google_hot</v>
      </c>
      <c r="F277" s="10" t="s">
        <v>17</v>
      </c>
      <c r="G277" s="11">
        <v>89459845</v>
      </c>
      <c r="H277" s="11">
        <v>8750</v>
      </c>
      <c r="I277" s="13">
        <v>1078.73</v>
      </c>
      <c r="J277" s="40">
        <f t="shared" si="46"/>
        <v>0.02</v>
      </c>
      <c r="K277" s="11">
        <v>175</v>
      </c>
      <c r="L277" s="6" t="b">
        <f t="shared" si="47"/>
        <v>0</v>
      </c>
      <c r="M277" s="11">
        <v>1</v>
      </c>
      <c r="N277" s="6" t="b">
        <f t="shared" si="49"/>
        <v>0</v>
      </c>
      <c r="O277" s="11">
        <v>0</v>
      </c>
      <c r="P277" s="6" t="b">
        <f t="shared" si="44"/>
        <v>0</v>
      </c>
      <c r="Q277" s="12">
        <v>0</v>
      </c>
      <c r="R277" s="1">
        <f t="shared" si="50"/>
        <v>0</v>
      </c>
      <c r="S277" s="1">
        <f t="shared" si="51"/>
        <v>0</v>
      </c>
      <c r="T277" s="1">
        <f t="shared" si="52"/>
        <v>0</v>
      </c>
      <c r="U277" s="1">
        <f t="shared" si="53"/>
        <v>0</v>
      </c>
    </row>
    <row r="278" spans="1:21" ht="20" customHeight="1" x14ac:dyDescent="0.15">
      <c r="A278" s="8">
        <v>278</v>
      </c>
      <c r="B278" s="9" t="s">
        <v>52</v>
      </c>
      <c r="C278" s="41">
        <f t="shared" si="48"/>
        <v>44253</v>
      </c>
      <c r="D278" s="10" t="s">
        <v>16</v>
      </c>
      <c r="E278" s="36" t="str">
        <f t="shared" si="45"/>
        <v>google_hot</v>
      </c>
      <c r="F278" s="10" t="s">
        <v>17</v>
      </c>
      <c r="G278" s="11">
        <v>89459845</v>
      </c>
      <c r="H278" s="11">
        <v>22450</v>
      </c>
      <c r="I278" s="13">
        <v>1545.74</v>
      </c>
      <c r="J278" s="40">
        <f t="shared" si="46"/>
        <v>0.02</v>
      </c>
      <c r="K278" s="11">
        <v>449</v>
      </c>
      <c r="L278" s="6" t="b">
        <f t="shared" si="47"/>
        <v>0</v>
      </c>
      <c r="M278" s="11">
        <v>2</v>
      </c>
      <c r="N278" s="6" t="b">
        <f t="shared" si="49"/>
        <v>0</v>
      </c>
      <c r="O278" s="11">
        <v>0</v>
      </c>
      <c r="P278" s="6" t="b">
        <f t="shared" si="44"/>
        <v>0</v>
      </c>
      <c r="Q278" s="12">
        <v>0</v>
      </c>
      <c r="R278" s="1">
        <f t="shared" si="50"/>
        <v>0</v>
      </c>
      <c r="S278" s="1">
        <f t="shared" si="51"/>
        <v>0</v>
      </c>
      <c r="T278" s="1">
        <f t="shared" si="52"/>
        <v>0</v>
      </c>
      <c r="U278" s="1">
        <f t="shared" si="53"/>
        <v>0</v>
      </c>
    </row>
    <row r="279" spans="1:21" ht="20" customHeight="1" x14ac:dyDescent="0.15">
      <c r="A279" s="8">
        <v>146</v>
      </c>
      <c r="B279" s="9" t="s">
        <v>40</v>
      </c>
      <c r="C279" s="41">
        <f t="shared" si="48"/>
        <v>44241</v>
      </c>
      <c r="D279" s="10" t="s">
        <v>16</v>
      </c>
      <c r="E279" s="36" t="str">
        <f t="shared" si="45"/>
        <v>google_hot</v>
      </c>
      <c r="F279" s="10" t="s">
        <v>17</v>
      </c>
      <c r="G279" s="11">
        <v>89459845</v>
      </c>
      <c r="H279" s="11">
        <v>263754</v>
      </c>
      <c r="I279" s="12">
        <v>56440.3</v>
      </c>
      <c r="J279" s="40">
        <f t="shared" si="46"/>
        <v>2.0507745854091312E-2</v>
      </c>
      <c r="K279" s="11">
        <v>5409</v>
      </c>
      <c r="L279" s="6" t="b">
        <f t="shared" si="47"/>
        <v>0</v>
      </c>
      <c r="M279" s="11">
        <v>90</v>
      </c>
      <c r="N279" s="6" t="b">
        <f t="shared" si="49"/>
        <v>0</v>
      </c>
      <c r="O279" s="11">
        <v>11</v>
      </c>
      <c r="P279" s="6" t="b">
        <f t="shared" si="44"/>
        <v>0</v>
      </c>
      <c r="Q279" s="12">
        <v>84183</v>
      </c>
      <c r="R279" s="1">
        <f t="shared" si="50"/>
        <v>0</v>
      </c>
      <c r="S279" s="1">
        <f t="shared" si="51"/>
        <v>0</v>
      </c>
      <c r="T279" s="1">
        <f t="shared" si="52"/>
        <v>0</v>
      </c>
      <c r="U279" s="1">
        <f t="shared" si="53"/>
        <v>0</v>
      </c>
    </row>
    <row r="280" spans="1:21" ht="20" customHeight="1" x14ac:dyDescent="0.15">
      <c r="A280" s="8">
        <v>14</v>
      </c>
      <c r="B280" s="9" t="s">
        <v>28</v>
      </c>
      <c r="C280" s="41">
        <f t="shared" si="48"/>
        <v>44229</v>
      </c>
      <c r="D280" s="10" t="s">
        <v>16</v>
      </c>
      <c r="E280" s="36" t="str">
        <f t="shared" si="45"/>
        <v>google_hot</v>
      </c>
      <c r="F280" s="10" t="s">
        <v>17</v>
      </c>
      <c r="G280" s="11">
        <v>89459845</v>
      </c>
      <c r="H280" s="11">
        <v>43806</v>
      </c>
      <c r="I280" s="12">
        <v>11446.7</v>
      </c>
      <c r="J280" s="40">
        <f t="shared" si="46"/>
        <v>2.0704926265808336E-2</v>
      </c>
      <c r="K280" s="11">
        <v>907</v>
      </c>
      <c r="L280" s="6" t="b">
        <f t="shared" si="47"/>
        <v>0</v>
      </c>
      <c r="M280" s="11">
        <v>18</v>
      </c>
      <c r="N280" s="6" t="b">
        <f t="shared" si="49"/>
        <v>0</v>
      </c>
      <c r="O280" s="11">
        <v>3</v>
      </c>
      <c r="P280" s="6" t="b">
        <f t="shared" si="44"/>
        <v>0</v>
      </c>
      <c r="Q280" s="12">
        <v>23943</v>
      </c>
      <c r="R280" s="1">
        <f t="shared" si="50"/>
        <v>0</v>
      </c>
      <c r="S280" s="1">
        <f t="shared" si="51"/>
        <v>0</v>
      </c>
      <c r="T280" s="1">
        <f t="shared" si="52"/>
        <v>0</v>
      </c>
      <c r="U280" s="1">
        <f t="shared" si="53"/>
        <v>0</v>
      </c>
    </row>
    <row r="281" spans="1:21" ht="20" customHeight="1" x14ac:dyDescent="0.15">
      <c r="A281" s="8">
        <v>124</v>
      </c>
      <c r="B281" s="9" t="s">
        <v>38</v>
      </c>
      <c r="C281" s="41">
        <f t="shared" si="48"/>
        <v>44239</v>
      </c>
      <c r="D281" s="10" t="s">
        <v>16</v>
      </c>
      <c r="E281" s="36" t="str">
        <f t="shared" si="45"/>
        <v>google_hot</v>
      </c>
      <c r="F281" s="10" t="s">
        <v>17</v>
      </c>
      <c r="G281" s="11">
        <v>89459845</v>
      </c>
      <c r="H281" s="11">
        <v>161493</v>
      </c>
      <c r="I281" s="12">
        <v>59745.3</v>
      </c>
      <c r="J281" s="40">
        <f t="shared" si="46"/>
        <v>2.230437232573548E-2</v>
      </c>
      <c r="K281" s="11">
        <v>3602</v>
      </c>
      <c r="L281" s="6" t="b">
        <f t="shared" si="47"/>
        <v>0</v>
      </c>
      <c r="M281" s="11">
        <v>72</v>
      </c>
      <c r="N281" s="6" t="b">
        <f t="shared" si="49"/>
        <v>0</v>
      </c>
      <c r="O281" s="11">
        <v>14</v>
      </c>
      <c r="P281" s="6" t="b">
        <f t="shared" si="44"/>
        <v>0</v>
      </c>
      <c r="Q281" s="12">
        <v>122710</v>
      </c>
      <c r="R281" s="1">
        <f t="shared" si="50"/>
        <v>0</v>
      </c>
      <c r="S281" s="1">
        <f t="shared" si="51"/>
        <v>0</v>
      </c>
      <c r="T281" s="1">
        <f t="shared" si="52"/>
        <v>0</v>
      </c>
      <c r="U281" s="1">
        <f t="shared" si="53"/>
        <v>0</v>
      </c>
    </row>
    <row r="282" spans="1:21" ht="20" customHeight="1" x14ac:dyDescent="0.15">
      <c r="A282" s="8">
        <v>201</v>
      </c>
      <c r="B282" s="9" t="s">
        <v>45</v>
      </c>
      <c r="C282" s="41">
        <f t="shared" si="48"/>
        <v>44246</v>
      </c>
      <c r="D282" s="10" t="s">
        <v>16</v>
      </c>
      <c r="E282" s="36" t="str">
        <f t="shared" si="45"/>
        <v>google_hot</v>
      </c>
      <c r="F282" s="10" t="s">
        <v>17</v>
      </c>
      <c r="G282" s="11">
        <v>89459845</v>
      </c>
      <c r="H282" s="11">
        <v>413291</v>
      </c>
      <c r="I282" s="13">
        <v>9777.5499999999993</v>
      </c>
      <c r="J282" s="40">
        <f t="shared" si="46"/>
        <v>2.3963744673849659E-2</v>
      </c>
      <c r="K282" s="11">
        <v>9904</v>
      </c>
      <c r="L282" s="6" t="b">
        <f t="shared" si="47"/>
        <v>0</v>
      </c>
      <c r="M282" s="11">
        <v>14</v>
      </c>
      <c r="N282" s="6" t="b">
        <f t="shared" si="49"/>
        <v>0</v>
      </c>
      <c r="O282" s="11">
        <v>2</v>
      </c>
      <c r="P282" s="6" t="b">
        <f t="shared" si="44"/>
        <v>0</v>
      </c>
      <c r="Q282" s="12">
        <v>15962</v>
      </c>
      <c r="R282" s="1">
        <f t="shared" si="50"/>
        <v>0</v>
      </c>
      <c r="S282" s="1">
        <f t="shared" si="51"/>
        <v>0</v>
      </c>
      <c r="T282" s="1">
        <f t="shared" si="52"/>
        <v>0</v>
      </c>
      <c r="U282" s="1">
        <f t="shared" si="53"/>
        <v>0</v>
      </c>
    </row>
    <row r="283" spans="1:21" ht="20" customHeight="1" x14ac:dyDescent="0.15">
      <c r="A283" s="8">
        <v>8</v>
      </c>
      <c r="B283" s="9" t="s">
        <v>12</v>
      </c>
      <c r="C283" s="41">
        <f t="shared" si="48"/>
        <v>44228</v>
      </c>
      <c r="D283" s="10" t="s">
        <v>23</v>
      </c>
      <c r="E283" s="36" t="str">
        <f t="shared" si="45"/>
        <v>facebook_retargeting</v>
      </c>
      <c r="F283" s="10" t="s">
        <v>14</v>
      </c>
      <c r="G283" s="11">
        <v>4387490</v>
      </c>
      <c r="H283" s="11">
        <v>5544</v>
      </c>
      <c r="I283" s="13">
        <v>1293.55</v>
      </c>
      <c r="J283" s="40">
        <f t="shared" si="46"/>
        <v>2.6695526695526696E-2</v>
      </c>
      <c r="K283" s="11">
        <v>148</v>
      </c>
      <c r="L283" s="6" t="b">
        <f t="shared" si="47"/>
        <v>0</v>
      </c>
      <c r="M283" s="11">
        <v>3</v>
      </c>
      <c r="N283" s="6" t="b">
        <f t="shared" si="49"/>
        <v>0</v>
      </c>
      <c r="O283" s="11">
        <v>1</v>
      </c>
      <c r="P283" s="6" t="b">
        <f t="shared" si="44"/>
        <v>0</v>
      </c>
      <c r="Q283" s="12">
        <v>4981</v>
      </c>
      <c r="R283" s="1">
        <f t="shared" si="50"/>
        <v>0</v>
      </c>
      <c r="S283" s="1">
        <f t="shared" si="51"/>
        <v>0</v>
      </c>
      <c r="T283" s="1">
        <f t="shared" si="52"/>
        <v>0</v>
      </c>
      <c r="U283" s="1">
        <f t="shared" si="53"/>
        <v>0</v>
      </c>
    </row>
    <row r="284" spans="1:21" ht="20" customHeight="1" x14ac:dyDescent="0.15">
      <c r="A284" s="8">
        <v>228</v>
      </c>
      <c r="B284" s="9" t="s">
        <v>47</v>
      </c>
      <c r="C284" s="41">
        <f t="shared" si="48"/>
        <v>44248</v>
      </c>
      <c r="D284" s="10" t="s">
        <v>23</v>
      </c>
      <c r="E284" s="36" t="str">
        <f t="shared" si="45"/>
        <v>facebook_retargeting</v>
      </c>
      <c r="F284" s="10" t="s">
        <v>14</v>
      </c>
      <c r="G284" s="11">
        <v>4387490</v>
      </c>
      <c r="H284" s="11">
        <v>10812</v>
      </c>
      <c r="I284" s="13">
        <v>1555.96</v>
      </c>
      <c r="J284" s="40">
        <f t="shared" si="46"/>
        <v>2.737698853126156E-2</v>
      </c>
      <c r="K284" s="11">
        <v>296</v>
      </c>
      <c r="L284" s="6" t="b">
        <f t="shared" si="47"/>
        <v>0</v>
      </c>
      <c r="M284" s="11">
        <v>3</v>
      </c>
      <c r="N284" s="6" t="b">
        <f t="shared" si="49"/>
        <v>0</v>
      </c>
      <c r="O284" s="11">
        <v>1</v>
      </c>
      <c r="P284" s="6" t="b">
        <f t="shared" ref="P284:P310" si="54">(O283)&gt;(M283)</f>
        <v>0</v>
      </c>
      <c r="Q284" s="12">
        <v>3993</v>
      </c>
      <c r="R284" s="1">
        <f t="shared" si="50"/>
        <v>0</v>
      </c>
      <c r="S284" s="1">
        <f t="shared" si="51"/>
        <v>0</v>
      </c>
      <c r="T284" s="1">
        <f t="shared" si="52"/>
        <v>0</v>
      </c>
      <c r="U284" s="1">
        <f t="shared" si="53"/>
        <v>0</v>
      </c>
    </row>
    <row r="285" spans="1:21" ht="20" customHeight="1" x14ac:dyDescent="0.15">
      <c r="A285" s="8">
        <v>41</v>
      </c>
      <c r="B285" s="9" t="s">
        <v>30</v>
      </c>
      <c r="C285" s="41">
        <f t="shared" si="48"/>
        <v>44231</v>
      </c>
      <c r="D285" s="10" t="s">
        <v>23</v>
      </c>
      <c r="E285" s="36" t="str">
        <f t="shared" si="45"/>
        <v>facebook_retargeting</v>
      </c>
      <c r="F285" s="10" t="s">
        <v>14</v>
      </c>
      <c r="G285" s="11">
        <v>4387490</v>
      </c>
      <c r="H285" s="11">
        <v>43160</v>
      </c>
      <c r="I285" s="13">
        <v>885.75</v>
      </c>
      <c r="J285" s="40">
        <f t="shared" si="46"/>
        <v>2.7664504170528268E-2</v>
      </c>
      <c r="K285" s="11">
        <v>1194</v>
      </c>
      <c r="L285" s="6" t="b">
        <f t="shared" si="47"/>
        <v>0</v>
      </c>
      <c r="M285" s="11">
        <v>4</v>
      </c>
      <c r="N285" s="6" t="b">
        <f t="shared" si="49"/>
        <v>0</v>
      </c>
      <c r="O285" s="11">
        <v>1</v>
      </c>
      <c r="P285" s="6" t="b">
        <f t="shared" si="54"/>
        <v>0</v>
      </c>
      <c r="Q285" s="12">
        <v>5287</v>
      </c>
      <c r="R285" s="1">
        <f t="shared" si="50"/>
        <v>0</v>
      </c>
      <c r="S285" s="1">
        <f t="shared" si="51"/>
        <v>0</v>
      </c>
      <c r="T285" s="1">
        <f t="shared" si="52"/>
        <v>0</v>
      </c>
      <c r="U285" s="1">
        <f t="shared" si="53"/>
        <v>0</v>
      </c>
    </row>
    <row r="286" spans="1:21" ht="20" customHeight="1" x14ac:dyDescent="0.15">
      <c r="A286" s="8">
        <v>129</v>
      </c>
      <c r="B286" s="9" t="s">
        <v>38</v>
      </c>
      <c r="C286" s="41">
        <f t="shared" si="48"/>
        <v>44239</v>
      </c>
      <c r="D286" s="10" t="s">
        <v>23</v>
      </c>
      <c r="E286" s="36" t="str">
        <f t="shared" si="45"/>
        <v>facebook_retargeting</v>
      </c>
      <c r="F286" s="10" t="s">
        <v>14</v>
      </c>
      <c r="G286" s="11">
        <v>4387490</v>
      </c>
      <c r="H286" s="11">
        <v>42587</v>
      </c>
      <c r="I286" s="12">
        <v>11278.3</v>
      </c>
      <c r="J286" s="40">
        <f t="shared" si="46"/>
        <v>2.834198229506657E-2</v>
      </c>
      <c r="K286" s="11">
        <v>1207</v>
      </c>
      <c r="L286" s="6" t="b">
        <f t="shared" si="47"/>
        <v>0</v>
      </c>
      <c r="M286" s="11">
        <v>34</v>
      </c>
      <c r="N286" s="6" t="b">
        <f t="shared" si="49"/>
        <v>0</v>
      </c>
      <c r="O286" s="11">
        <v>8</v>
      </c>
      <c r="P286" s="6" t="b">
        <f t="shared" si="54"/>
        <v>0</v>
      </c>
      <c r="Q286" s="12">
        <v>39848</v>
      </c>
      <c r="R286" s="1">
        <f t="shared" si="50"/>
        <v>0</v>
      </c>
      <c r="S286" s="1">
        <f t="shared" si="51"/>
        <v>0</v>
      </c>
      <c r="T286" s="1">
        <f t="shared" si="52"/>
        <v>0</v>
      </c>
      <c r="U286" s="1">
        <f t="shared" si="53"/>
        <v>0</v>
      </c>
    </row>
    <row r="287" spans="1:21" ht="20" customHeight="1" x14ac:dyDescent="0.15">
      <c r="A287" s="8">
        <v>206</v>
      </c>
      <c r="B287" s="9" t="s">
        <v>45</v>
      </c>
      <c r="C287" s="41">
        <f t="shared" si="48"/>
        <v>44246</v>
      </c>
      <c r="D287" s="10" t="s">
        <v>23</v>
      </c>
      <c r="E287" s="36" t="str">
        <f t="shared" si="45"/>
        <v>facebook_retargeting</v>
      </c>
      <c r="F287" s="10" t="s">
        <v>14</v>
      </c>
      <c r="G287" s="11">
        <v>4387490</v>
      </c>
      <c r="H287" s="11">
        <v>115166</v>
      </c>
      <c r="I287" s="13">
        <v>3173.41</v>
      </c>
      <c r="J287" s="40">
        <f t="shared" si="46"/>
        <v>2.8628240973898548E-2</v>
      </c>
      <c r="K287" s="11">
        <v>3297</v>
      </c>
      <c r="L287" s="6" t="b">
        <f t="shared" si="47"/>
        <v>0</v>
      </c>
      <c r="M287" s="11">
        <v>7</v>
      </c>
      <c r="N287" s="6" t="b">
        <f t="shared" si="49"/>
        <v>0</v>
      </c>
      <c r="O287" s="11">
        <v>1</v>
      </c>
      <c r="P287" s="6" t="b">
        <f t="shared" si="54"/>
        <v>0</v>
      </c>
      <c r="Q287" s="12">
        <v>5199</v>
      </c>
      <c r="R287" s="1">
        <f t="shared" si="50"/>
        <v>0</v>
      </c>
      <c r="S287" s="1">
        <f t="shared" si="51"/>
        <v>0</v>
      </c>
      <c r="T287" s="1">
        <f t="shared" si="52"/>
        <v>0</v>
      </c>
      <c r="U287" s="1">
        <f t="shared" si="53"/>
        <v>0</v>
      </c>
    </row>
    <row r="288" spans="1:21" ht="20" customHeight="1" x14ac:dyDescent="0.15">
      <c r="A288" s="8">
        <v>283</v>
      </c>
      <c r="B288" s="9" t="s">
        <v>52</v>
      </c>
      <c r="C288" s="41">
        <f t="shared" si="48"/>
        <v>44253</v>
      </c>
      <c r="D288" s="10" t="s">
        <v>23</v>
      </c>
      <c r="E288" s="36" t="str">
        <f t="shared" si="45"/>
        <v>facebook_retargeting</v>
      </c>
      <c r="F288" s="10" t="s">
        <v>14</v>
      </c>
      <c r="G288" s="11">
        <v>4387490</v>
      </c>
      <c r="H288" s="11">
        <v>4906</v>
      </c>
      <c r="I288" s="13">
        <v>1071.1600000000001</v>
      </c>
      <c r="J288" s="40">
        <f t="shared" si="46"/>
        <v>2.914798206278027E-2</v>
      </c>
      <c r="K288" s="11">
        <v>143</v>
      </c>
      <c r="L288" s="6" t="b">
        <f t="shared" si="47"/>
        <v>0</v>
      </c>
      <c r="M288" s="11">
        <v>3</v>
      </c>
      <c r="N288" s="6" t="b">
        <f t="shared" si="49"/>
        <v>0</v>
      </c>
      <c r="O288" s="11">
        <v>1</v>
      </c>
      <c r="P288" s="6" t="b">
        <f t="shared" si="54"/>
        <v>0</v>
      </c>
      <c r="Q288" s="12">
        <v>4981</v>
      </c>
      <c r="R288" s="1">
        <f t="shared" si="50"/>
        <v>0</v>
      </c>
      <c r="S288" s="1">
        <f t="shared" si="51"/>
        <v>0</v>
      </c>
      <c r="T288" s="1">
        <f t="shared" si="52"/>
        <v>0</v>
      </c>
      <c r="U288" s="1">
        <f t="shared" si="53"/>
        <v>0</v>
      </c>
    </row>
    <row r="289" spans="1:21" ht="20" customHeight="1" x14ac:dyDescent="0.15">
      <c r="A289" s="8">
        <v>74</v>
      </c>
      <c r="B289" s="9" t="s">
        <v>33</v>
      </c>
      <c r="C289" s="41">
        <f t="shared" si="48"/>
        <v>44234</v>
      </c>
      <c r="D289" s="10" t="s">
        <v>23</v>
      </c>
      <c r="E289" s="36" t="str">
        <f t="shared" si="45"/>
        <v>facebook_retargeting</v>
      </c>
      <c r="F289" s="10" t="s">
        <v>14</v>
      </c>
      <c r="G289" s="11">
        <v>4387490</v>
      </c>
      <c r="H289" s="11">
        <v>9938</v>
      </c>
      <c r="I289" s="13">
        <v>3435.44</v>
      </c>
      <c r="J289" s="40">
        <f t="shared" si="46"/>
        <v>2.9583417186556653E-2</v>
      </c>
      <c r="K289" s="11">
        <v>294</v>
      </c>
      <c r="L289" s="6" t="b">
        <f t="shared" si="47"/>
        <v>0</v>
      </c>
      <c r="M289" s="11">
        <v>6</v>
      </c>
      <c r="N289" s="6" t="b">
        <f t="shared" si="49"/>
        <v>0</v>
      </c>
      <c r="O289" s="11">
        <v>1</v>
      </c>
      <c r="P289" s="6" t="b">
        <f t="shared" si="54"/>
        <v>0</v>
      </c>
      <c r="Q289" s="12">
        <v>4981</v>
      </c>
      <c r="R289" s="1">
        <f t="shared" si="50"/>
        <v>0</v>
      </c>
      <c r="S289" s="1">
        <f t="shared" si="51"/>
        <v>0</v>
      </c>
      <c r="T289" s="1">
        <f t="shared" si="52"/>
        <v>0</v>
      </c>
      <c r="U289" s="1">
        <f t="shared" si="53"/>
        <v>0</v>
      </c>
    </row>
    <row r="290" spans="1:21" ht="20" customHeight="1" x14ac:dyDescent="0.15">
      <c r="A290" s="8">
        <v>272</v>
      </c>
      <c r="B290" s="9" t="s">
        <v>51</v>
      </c>
      <c r="C290" s="41">
        <f t="shared" si="48"/>
        <v>44252</v>
      </c>
      <c r="D290" s="10" t="s">
        <v>23</v>
      </c>
      <c r="E290" s="36" t="str">
        <f t="shared" si="45"/>
        <v>facebook_retargeting</v>
      </c>
      <c r="F290" s="10" t="s">
        <v>14</v>
      </c>
      <c r="G290" s="11">
        <v>4387490</v>
      </c>
      <c r="H290" s="11">
        <v>2214</v>
      </c>
      <c r="I290" s="13">
        <v>1487.47</v>
      </c>
      <c r="J290" s="40">
        <f t="shared" si="46"/>
        <v>2.9810298102981029E-2</v>
      </c>
      <c r="K290" s="11">
        <v>66</v>
      </c>
      <c r="L290" s="6" t="b">
        <f t="shared" si="47"/>
        <v>0</v>
      </c>
      <c r="M290" s="11">
        <v>3</v>
      </c>
      <c r="N290" s="6" t="b">
        <f t="shared" si="49"/>
        <v>0</v>
      </c>
      <c r="O290" s="11">
        <v>1</v>
      </c>
      <c r="P290" s="6" t="b">
        <f t="shared" si="54"/>
        <v>0</v>
      </c>
      <c r="Q290" s="12">
        <v>4461</v>
      </c>
      <c r="R290" s="1">
        <f t="shared" si="50"/>
        <v>0</v>
      </c>
      <c r="S290" s="1">
        <f t="shared" si="51"/>
        <v>0</v>
      </c>
      <c r="T290" s="1">
        <f t="shared" si="52"/>
        <v>0</v>
      </c>
      <c r="U290" s="1">
        <f t="shared" si="53"/>
        <v>0</v>
      </c>
    </row>
    <row r="291" spans="1:21" ht="20" customHeight="1" x14ac:dyDescent="0.15">
      <c r="A291" s="8">
        <v>96</v>
      </c>
      <c r="B291" s="9" t="s">
        <v>35</v>
      </c>
      <c r="C291" s="41">
        <f t="shared" si="48"/>
        <v>44236</v>
      </c>
      <c r="D291" s="10" t="s">
        <v>23</v>
      </c>
      <c r="E291" s="36" t="str">
        <f t="shared" si="45"/>
        <v>facebook_retargeting</v>
      </c>
      <c r="F291" s="10" t="s">
        <v>14</v>
      </c>
      <c r="G291" s="11">
        <v>4387490</v>
      </c>
      <c r="H291" s="11">
        <v>9721</v>
      </c>
      <c r="I291" s="13">
        <v>2152.37</v>
      </c>
      <c r="J291" s="40">
        <f t="shared" si="46"/>
        <v>2.9832321777594897E-2</v>
      </c>
      <c r="K291" s="11">
        <v>290</v>
      </c>
      <c r="L291" s="6" t="b">
        <f t="shared" si="47"/>
        <v>0</v>
      </c>
      <c r="M291" s="11">
        <v>6</v>
      </c>
      <c r="N291" s="6" t="b">
        <f t="shared" si="49"/>
        <v>0</v>
      </c>
      <c r="O291" s="11">
        <v>1</v>
      </c>
      <c r="P291" s="6" t="b">
        <f t="shared" si="54"/>
        <v>0</v>
      </c>
      <c r="Q291" s="12">
        <v>4353</v>
      </c>
      <c r="R291" s="1">
        <f t="shared" si="50"/>
        <v>0</v>
      </c>
      <c r="S291" s="1">
        <f t="shared" si="51"/>
        <v>0</v>
      </c>
      <c r="T291" s="1">
        <f t="shared" si="52"/>
        <v>0</v>
      </c>
      <c r="U291" s="1">
        <f t="shared" si="53"/>
        <v>0</v>
      </c>
    </row>
    <row r="292" spans="1:21" ht="20" customHeight="1" x14ac:dyDescent="0.15">
      <c r="A292" s="8">
        <v>294</v>
      </c>
      <c r="B292" s="9" t="s">
        <v>53</v>
      </c>
      <c r="C292" s="41">
        <f t="shared" si="48"/>
        <v>44254</v>
      </c>
      <c r="D292" s="10" t="s">
        <v>23</v>
      </c>
      <c r="E292" s="36" t="str">
        <f t="shared" si="45"/>
        <v>facebook_retargeting</v>
      </c>
      <c r="F292" s="10" t="s">
        <v>14</v>
      </c>
      <c r="G292" s="11">
        <v>4387490</v>
      </c>
      <c r="H292" s="11">
        <v>667</v>
      </c>
      <c r="I292" s="13">
        <v>200.42</v>
      </c>
      <c r="J292" s="40">
        <f t="shared" si="46"/>
        <v>2.9985007496251874E-2</v>
      </c>
      <c r="K292" s="11">
        <v>20</v>
      </c>
      <c r="L292" s="6" t="b">
        <f t="shared" si="47"/>
        <v>0</v>
      </c>
      <c r="M292" s="11">
        <v>0</v>
      </c>
      <c r="N292" s="6" t="b">
        <f t="shared" si="49"/>
        <v>0</v>
      </c>
      <c r="O292" s="11">
        <v>0</v>
      </c>
      <c r="P292" s="6" t="b">
        <f t="shared" si="54"/>
        <v>0</v>
      </c>
      <c r="Q292" s="12">
        <v>0</v>
      </c>
      <c r="R292" s="1">
        <f t="shared" si="50"/>
        <v>0</v>
      </c>
      <c r="S292" s="1">
        <f t="shared" si="51"/>
        <v>0</v>
      </c>
      <c r="T292" s="1">
        <f t="shared" si="52"/>
        <v>0</v>
      </c>
      <c r="U292" s="1">
        <f t="shared" si="53"/>
        <v>0</v>
      </c>
    </row>
    <row r="293" spans="1:21" ht="20" customHeight="1" x14ac:dyDescent="0.15">
      <c r="A293" s="8">
        <v>85</v>
      </c>
      <c r="B293" s="9" t="s">
        <v>34</v>
      </c>
      <c r="C293" s="41">
        <f t="shared" si="48"/>
        <v>44235</v>
      </c>
      <c r="D293" s="10" t="s">
        <v>23</v>
      </c>
      <c r="E293" s="36" t="str">
        <f t="shared" si="45"/>
        <v>facebook_retargeting</v>
      </c>
      <c r="F293" s="10" t="s">
        <v>14</v>
      </c>
      <c r="G293" s="11">
        <v>4387490</v>
      </c>
      <c r="H293" s="11">
        <v>10067</v>
      </c>
      <c r="I293" s="13">
        <v>4336.04</v>
      </c>
      <c r="J293" s="40">
        <f t="shared" si="46"/>
        <v>2.999900665540876E-2</v>
      </c>
      <c r="K293" s="11">
        <v>302</v>
      </c>
      <c r="L293" s="6" t="b">
        <f t="shared" si="47"/>
        <v>0</v>
      </c>
      <c r="M293" s="11">
        <v>10</v>
      </c>
      <c r="N293" s="6" t="b">
        <f t="shared" si="49"/>
        <v>0</v>
      </c>
      <c r="O293" s="11">
        <v>2</v>
      </c>
      <c r="P293" s="6" t="b">
        <f t="shared" si="54"/>
        <v>0</v>
      </c>
      <c r="Q293" s="12">
        <v>10036</v>
      </c>
      <c r="R293" s="1">
        <f t="shared" si="50"/>
        <v>0</v>
      </c>
      <c r="S293" s="1">
        <f t="shared" si="51"/>
        <v>0</v>
      </c>
      <c r="T293" s="1">
        <f t="shared" si="52"/>
        <v>0</v>
      </c>
      <c r="U293" s="1">
        <f t="shared" si="53"/>
        <v>0</v>
      </c>
    </row>
    <row r="294" spans="1:21" ht="20" customHeight="1" x14ac:dyDescent="0.15">
      <c r="A294" s="8">
        <v>30</v>
      </c>
      <c r="B294" s="9" t="s">
        <v>29</v>
      </c>
      <c r="C294" s="41">
        <f t="shared" si="48"/>
        <v>44230</v>
      </c>
      <c r="D294" s="10" t="s">
        <v>23</v>
      </c>
      <c r="E294" s="36" t="str">
        <f t="shared" si="45"/>
        <v>facebook_retargeting</v>
      </c>
      <c r="F294" s="10" t="s">
        <v>14</v>
      </c>
      <c r="G294" s="11">
        <v>4387490</v>
      </c>
      <c r="H294" s="11">
        <v>29867</v>
      </c>
      <c r="I294" s="13">
        <v>5039.51</v>
      </c>
      <c r="J294" s="40">
        <f t="shared" si="46"/>
        <v>2.9999665182308233E-2</v>
      </c>
      <c r="K294" s="11">
        <v>896</v>
      </c>
      <c r="L294" s="6" t="b">
        <f t="shared" si="47"/>
        <v>0</v>
      </c>
      <c r="M294" s="11">
        <v>18</v>
      </c>
      <c r="N294" s="6" t="b">
        <f t="shared" si="49"/>
        <v>0</v>
      </c>
      <c r="O294" s="11">
        <v>4</v>
      </c>
      <c r="P294" s="6" t="b">
        <f t="shared" si="54"/>
        <v>0</v>
      </c>
      <c r="Q294" s="12">
        <v>23560</v>
      </c>
      <c r="R294" s="1">
        <f t="shared" si="50"/>
        <v>0</v>
      </c>
      <c r="S294" s="1">
        <f t="shared" si="51"/>
        <v>0</v>
      </c>
      <c r="T294" s="1">
        <f t="shared" si="52"/>
        <v>0</v>
      </c>
      <c r="U294" s="1">
        <f t="shared" si="53"/>
        <v>0</v>
      </c>
    </row>
    <row r="295" spans="1:21" ht="20" customHeight="1" x14ac:dyDescent="0.15">
      <c r="A295" s="8">
        <v>63</v>
      </c>
      <c r="B295" s="9" t="s">
        <v>32</v>
      </c>
      <c r="C295" s="41">
        <f t="shared" si="48"/>
        <v>44233</v>
      </c>
      <c r="D295" s="10" t="s">
        <v>23</v>
      </c>
      <c r="E295" s="36" t="str">
        <f t="shared" si="45"/>
        <v>facebook_retargeting</v>
      </c>
      <c r="F295" s="10" t="s">
        <v>14</v>
      </c>
      <c r="G295" s="11">
        <v>4387490</v>
      </c>
      <c r="H295" s="11">
        <v>10200</v>
      </c>
      <c r="I295" s="13">
        <v>1420.15</v>
      </c>
      <c r="J295" s="40">
        <f t="shared" si="46"/>
        <v>0.03</v>
      </c>
      <c r="K295" s="11">
        <v>306</v>
      </c>
      <c r="L295" s="6" t="b">
        <f t="shared" si="47"/>
        <v>0</v>
      </c>
      <c r="M295" s="11">
        <v>6</v>
      </c>
      <c r="N295" s="6" t="b">
        <f t="shared" si="49"/>
        <v>0</v>
      </c>
      <c r="O295" s="11">
        <v>1</v>
      </c>
      <c r="P295" s="6" t="b">
        <f t="shared" si="54"/>
        <v>0</v>
      </c>
      <c r="Q295" s="12">
        <v>5492</v>
      </c>
      <c r="R295" s="1">
        <f t="shared" si="50"/>
        <v>0</v>
      </c>
      <c r="S295" s="1">
        <f t="shared" si="51"/>
        <v>0</v>
      </c>
      <c r="T295" s="1">
        <f t="shared" si="52"/>
        <v>0</v>
      </c>
      <c r="U295" s="1">
        <f t="shared" si="53"/>
        <v>0</v>
      </c>
    </row>
    <row r="296" spans="1:21" ht="20" customHeight="1" x14ac:dyDescent="0.15">
      <c r="A296" s="8">
        <v>173</v>
      </c>
      <c r="B296" s="9" t="s">
        <v>42</v>
      </c>
      <c r="C296" s="41">
        <f t="shared" si="48"/>
        <v>44243</v>
      </c>
      <c r="D296" s="10" t="s">
        <v>23</v>
      </c>
      <c r="E296" s="36" t="str">
        <f t="shared" si="45"/>
        <v>facebook_retargeting</v>
      </c>
      <c r="F296" s="10" t="s">
        <v>14</v>
      </c>
      <c r="G296" s="11">
        <v>4387490</v>
      </c>
      <c r="H296" s="11">
        <v>80233</v>
      </c>
      <c r="I296" s="12">
        <v>31712</v>
      </c>
      <c r="J296" s="40">
        <f t="shared" si="46"/>
        <v>3.0000124636994752E-2</v>
      </c>
      <c r="K296" s="11">
        <v>2407</v>
      </c>
      <c r="L296" s="6" t="b">
        <f t="shared" si="47"/>
        <v>0</v>
      </c>
      <c r="M296" s="11">
        <v>48</v>
      </c>
      <c r="N296" s="6" t="b">
        <f t="shared" si="49"/>
        <v>0</v>
      </c>
      <c r="O296" s="11">
        <v>12</v>
      </c>
      <c r="P296" s="6" t="b">
        <f t="shared" si="54"/>
        <v>0</v>
      </c>
      <c r="Q296" s="12">
        <v>59772</v>
      </c>
      <c r="R296" s="1">
        <f t="shared" si="50"/>
        <v>0</v>
      </c>
      <c r="S296" s="1">
        <f t="shared" si="51"/>
        <v>0</v>
      </c>
      <c r="T296" s="1">
        <f t="shared" si="52"/>
        <v>0</v>
      </c>
      <c r="U296" s="1">
        <f t="shared" si="53"/>
        <v>0</v>
      </c>
    </row>
    <row r="297" spans="1:21" ht="20" customHeight="1" x14ac:dyDescent="0.15">
      <c r="A297" s="8">
        <v>140</v>
      </c>
      <c r="B297" s="9" t="s">
        <v>39</v>
      </c>
      <c r="C297" s="41">
        <f t="shared" si="48"/>
        <v>44240</v>
      </c>
      <c r="D297" s="10" t="s">
        <v>23</v>
      </c>
      <c r="E297" s="36" t="str">
        <f t="shared" si="45"/>
        <v>facebook_retargeting</v>
      </c>
      <c r="F297" s="10" t="s">
        <v>14</v>
      </c>
      <c r="G297" s="11">
        <v>4387490</v>
      </c>
      <c r="H297" s="11">
        <v>50333</v>
      </c>
      <c r="I297" s="13">
        <v>8367.08</v>
      </c>
      <c r="J297" s="40">
        <f t="shared" si="46"/>
        <v>3.0000198676812428E-2</v>
      </c>
      <c r="K297" s="11">
        <v>1510</v>
      </c>
      <c r="L297" s="6" t="b">
        <f t="shared" si="47"/>
        <v>0</v>
      </c>
      <c r="M297" s="11">
        <v>19</v>
      </c>
      <c r="N297" s="6" t="b">
        <f t="shared" si="49"/>
        <v>0</v>
      </c>
      <c r="O297" s="11">
        <v>4</v>
      </c>
      <c r="P297" s="6" t="b">
        <f t="shared" si="54"/>
        <v>0</v>
      </c>
      <c r="Q297" s="12">
        <v>18828</v>
      </c>
      <c r="R297" s="1">
        <f t="shared" si="50"/>
        <v>0</v>
      </c>
      <c r="S297" s="1">
        <f t="shared" si="51"/>
        <v>0</v>
      </c>
      <c r="T297" s="1">
        <f t="shared" si="52"/>
        <v>0</v>
      </c>
      <c r="U297" s="1">
        <f t="shared" si="53"/>
        <v>0</v>
      </c>
    </row>
    <row r="298" spans="1:21" ht="20" customHeight="1" x14ac:dyDescent="0.15">
      <c r="A298" s="8">
        <v>19</v>
      </c>
      <c r="B298" s="9" t="s">
        <v>28</v>
      </c>
      <c r="C298" s="41">
        <f t="shared" si="48"/>
        <v>44229</v>
      </c>
      <c r="D298" s="10" t="s">
        <v>23</v>
      </c>
      <c r="E298" s="36" t="str">
        <f t="shared" si="45"/>
        <v>facebook_retargeting</v>
      </c>
      <c r="F298" s="10" t="s">
        <v>14</v>
      </c>
      <c r="G298" s="11">
        <v>4387490</v>
      </c>
      <c r="H298" s="11">
        <v>10033</v>
      </c>
      <c r="I298" s="13">
        <v>169.75</v>
      </c>
      <c r="J298" s="40">
        <f t="shared" si="46"/>
        <v>3.000099671085418E-2</v>
      </c>
      <c r="K298" s="11">
        <v>301</v>
      </c>
      <c r="L298" s="6" t="b">
        <f t="shared" si="47"/>
        <v>0</v>
      </c>
      <c r="M298" s="11">
        <v>0</v>
      </c>
      <c r="N298" s="6" t="b">
        <f t="shared" si="49"/>
        <v>0</v>
      </c>
      <c r="O298" s="11">
        <v>0</v>
      </c>
      <c r="P298" s="6" t="b">
        <f t="shared" si="54"/>
        <v>0</v>
      </c>
      <c r="Q298" s="12">
        <v>0</v>
      </c>
      <c r="R298" s="1">
        <f t="shared" si="50"/>
        <v>0</v>
      </c>
      <c r="S298" s="1">
        <f t="shared" si="51"/>
        <v>0</v>
      </c>
      <c r="T298" s="1">
        <f t="shared" si="52"/>
        <v>0</v>
      </c>
      <c r="U298" s="1">
        <f t="shared" si="53"/>
        <v>0</v>
      </c>
    </row>
    <row r="299" spans="1:21" ht="20" customHeight="1" x14ac:dyDescent="0.15">
      <c r="A299" s="8">
        <v>305</v>
      </c>
      <c r="B299" s="9" t="s">
        <v>54</v>
      </c>
      <c r="C299" s="41">
        <f t="shared" si="48"/>
        <v>44255</v>
      </c>
      <c r="D299" s="10" t="s">
        <v>23</v>
      </c>
      <c r="E299" s="36" t="str">
        <f t="shared" si="45"/>
        <v>facebook_retargeting</v>
      </c>
      <c r="F299" s="10" t="s">
        <v>14</v>
      </c>
      <c r="G299" s="11">
        <v>4387490</v>
      </c>
      <c r="H299" s="11">
        <v>1933</v>
      </c>
      <c r="I299" s="13">
        <v>224.81</v>
      </c>
      <c r="J299" s="40">
        <f t="shared" si="46"/>
        <v>3.0005173305742368E-2</v>
      </c>
      <c r="K299" s="11">
        <v>58</v>
      </c>
      <c r="L299" s="6" t="b">
        <f t="shared" si="47"/>
        <v>0</v>
      </c>
      <c r="M299" s="11">
        <v>0</v>
      </c>
      <c r="N299" s="6" t="b">
        <f t="shared" si="49"/>
        <v>0</v>
      </c>
      <c r="O299" s="11">
        <v>0</v>
      </c>
      <c r="P299" s="6" t="b">
        <f t="shared" si="54"/>
        <v>0</v>
      </c>
      <c r="Q299" s="12">
        <v>0</v>
      </c>
      <c r="R299" s="1">
        <f t="shared" si="50"/>
        <v>0</v>
      </c>
      <c r="S299" s="1">
        <f t="shared" si="51"/>
        <v>0</v>
      </c>
      <c r="T299" s="1">
        <f t="shared" si="52"/>
        <v>0</v>
      </c>
      <c r="U299" s="1">
        <f t="shared" si="53"/>
        <v>0</v>
      </c>
    </row>
    <row r="300" spans="1:21" ht="20" customHeight="1" x14ac:dyDescent="0.15">
      <c r="A300" s="8">
        <v>195</v>
      </c>
      <c r="B300" s="9" t="s">
        <v>44</v>
      </c>
      <c r="C300" s="41">
        <f t="shared" si="48"/>
        <v>44245</v>
      </c>
      <c r="D300" s="10" t="s">
        <v>23</v>
      </c>
      <c r="E300" s="36" t="str">
        <f t="shared" si="45"/>
        <v>facebook_retargeting</v>
      </c>
      <c r="F300" s="10" t="s">
        <v>14</v>
      </c>
      <c r="G300" s="11">
        <v>4387490</v>
      </c>
      <c r="H300" s="11">
        <v>97885</v>
      </c>
      <c r="I300" s="12">
        <v>17176.7</v>
      </c>
      <c r="J300" s="40">
        <f t="shared" si="46"/>
        <v>3.0556265004852635E-2</v>
      </c>
      <c r="K300" s="11">
        <v>2991</v>
      </c>
      <c r="L300" s="6" t="b">
        <f t="shared" si="47"/>
        <v>0</v>
      </c>
      <c r="M300" s="11">
        <v>28</v>
      </c>
      <c r="N300" s="6" t="b">
        <f t="shared" si="49"/>
        <v>0</v>
      </c>
      <c r="O300" s="11">
        <v>6</v>
      </c>
      <c r="P300" s="6" t="b">
        <f t="shared" si="54"/>
        <v>0</v>
      </c>
      <c r="Q300" s="12">
        <v>33930</v>
      </c>
      <c r="R300" s="1">
        <f t="shared" si="50"/>
        <v>0</v>
      </c>
      <c r="S300" s="1">
        <f t="shared" si="51"/>
        <v>0</v>
      </c>
      <c r="T300" s="1">
        <f t="shared" si="52"/>
        <v>0</v>
      </c>
      <c r="U300" s="1">
        <f t="shared" si="53"/>
        <v>0</v>
      </c>
    </row>
    <row r="301" spans="1:21" ht="20" customHeight="1" x14ac:dyDescent="0.15">
      <c r="A301" s="8">
        <v>52</v>
      </c>
      <c r="B301" s="9" t="s">
        <v>31</v>
      </c>
      <c r="C301" s="41">
        <f t="shared" si="48"/>
        <v>44232</v>
      </c>
      <c r="D301" s="10" t="s">
        <v>23</v>
      </c>
      <c r="E301" s="36" t="str">
        <f t="shared" si="45"/>
        <v>facebook_retargeting</v>
      </c>
      <c r="F301" s="10" t="s">
        <v>14</v>
      </c>
      <c r="G301" s="11">
        <v>4387490</v>
      </c>
      <c r="H301" s="11">
        <v>48954</v>
      </c>
      <c r="I301" s="13">
        <v>6790.74</v>
      </c>
      <c r="J301" s="40">
        <f t="shared" si="46"/>
        <v>3.0743146627446174E-2</v>
      </c>
      <c r="K301" s="11">
        <v>1505</v>
      </c>
      <c r="L301" s="6" t="b">
        <f t="shared" si="47"/>
        <v>0</v>
      </c>
      <c r="M301" s="11">
        <v>30</v>
      </c>
      <c r="N301" s="6" t="b">
        <f t="shared" si="49"/>
        <v>0</v>
      </c>
      <c r="O301" s="11">
        <v>5</v>
      </c>
      <c r="P301" s="6" t="b">
        <f t="shared" si="54"/>
        <v>0</v>
      </c>
      <c r="Q301" s="12">
        <v>27060</v>
      </c>
      <c r="R301" s="1">
        <f t="shared" si="50"/>
        <v>0</v>
      </c>
      <c r="S301" s="1">
        <f t="shared" si="51"/>
        <v>0</v>
      </c>
      <c r="T301" s="1">
        <f t="shared" si="52"/>
        <v>0</v>
      </c>
      <c r="U301" s="1">
        <f t="shared" si="53"/>
        <v>0</v>
      </c>
    </row>
    <row r="302" spans="1:21" ht="20" customHeight="1" x14ac:dyDescent="0.15">
      <c r="A302" s="8">
        <v>250</v>
      </c>
      <c r="B302" s="9" t="s">
        <v>49</v>
      </c>
      <c r="C302" s="41">
        <f t="shared" si="48"/>
        <v>44250</v>
      </c>
      <c r="D302" s="10" t="s">
        <v>23</v>
      </c>
      <c r="E302" s="36" t="str">
        <f t="shared" si="45"/>
        <v>facebook_retargeting</v>
      </c>
      <c r="F302" s="10" t="s">
        <v>14</v>
      </c>
      <c r="G302" s="11">
        <v>4387490</v>
      </c>
      <c r="H302" s="11">
        <v>4908</v>
      </c>
      <c r="I302" s="13">
        <v>1238.0899999999999</v>
      </c>
      <c r="J302" s="40">
        <f t="shared" si="46"/>
        <v>3.1581092094539527E-2</v>
      </c>
      <c r="K302" s="11">
        <v>155</v>
      </c>
      <c r="L302" s="6" t="b">
        <f t="shared" si="47"/>
        <v>0</v>
      </c>
      <c r="M302" s="11">
        <v>3</v>
      </c>
      <c r="N302" s="6" t="b">
        <f t="shared" si="49"/>
        <v>0</v>
      </c>
      <c r="O302" s="11">
        <v>1</v>
      </c>
      <c r="P302" s="6" t="b">
        <f t="shared" si="54"/>
        <v>0</v>
      </c>
      <c r="Q302" s="12">
        <v>5265</v>
      </c>
      <c r="R302" s="1">
        <f t="shared" si="50"/>
        <v>0</v>
      </c>
      <c r="S302" s="1">
        <f t="shared" si="51"/>
        <v>0</v>
      </c>
      <c r="T302" s="1">
        <f t="shared" si="52"/>
        <v>0</v>
      </c>
      <c r="U302" s="1">
        <f t="shared" si="53"/>
        <v>0</v>
      </c>
    </row>
    <row r="303" spans="1:21" ht="20" customHeight="1" x14ac:dyDescent="0.15">
      <c r="A303" s="8">
        <v>184</v>
      </c>
      <c r="B303" s="9" t="s">
        <v>43</v>
      </c>
      <c r="C303" s="41">
        <f t="shared" si="48"/>
        <v>44244</v>
      </c>
      <c r="D303" s="10" t="s">
        <v>23</v>
      </c>
      <c r="E303" s="36" t="str">
        <f t="shared" si="45"/>
        <v>facebook_retargeting</v>
      </c>
      <c r="F303" s="10" t="s">
        <v>14</v>
      </c>
      <c r="G303" s="11">
        <v>4387490</v>
      </c>
      <c r="H303" s="11">
        <v>84332</v>
      </c>
      <c r="I303" s="12">
        <v>31422.5</v>
      </c>
      <c r="J303" s="40">
        <f t="shared" si="46"/>
        <v>3.1992600673528437E-2</v>
      </c>
      <c r="K303" s="11">
        <v>2698</v>
      </c>
      <c r="L303" s="6" t="b">
        <f t="shared" si="47"/>
        <v>0</v>
      </c>
      <c r="M303" s="11">
        <v>54</v>
      </c>
      <c r="N303" s="6" t="b">
        <f t="shared" si="49"/>
        <v>0</v>
      </c>
      <c r="O303" s="11">
        <v>11</v>
      </c>
      <c r="P303" s="6" t="b">
        <f t="shared" si="54"/>
        <v>0</v>
      </c>
      <c r="Q303" s="12">
        <v>45441</v>
      </c>
      <c r="R303" s="1">
        <f t="shared" si="50"/>
        <v>0</v>
      </c>
      <c r="S303" s="1">
        <f t="shared" si="51"/>
        <v>0</v>
      </c>
      <c r="T303" s="1">
        <f t="shared" si="52"/>
        <v>0</v>
      </c>
      <c r="U303" s="1">
        <f t="shared" si="53"/>
        <v>0</v>
      </c>
    </row>
    <row r="304" spans="1:21" ht="20" customHeight="1" x14ac:dyDescent="0.15">
      <c r="A304" s="8">
        <v>217</v>
      </c>
      <c r="B304" s="9" t="s">
        <v>46</v>
      </c>
      <c r="C304" s="41">
        <f t="shared" si="48"/>
        <v>44247</v>
      </c>
      <c r="D304" s="10" t="s">
        <v>23</v>
      </c>
      <c r="E304" s="36" t="str">
        <f t="shared" si="45"/>
        <v>facebook_retargeting</v>
      </c>
      <c r="F304" s="10" t="s">
        <v>14</v>
      </c>
      <c r="G304" s="11">
        <v>4387490</v>
      </c>
      <c r="H304" s="11">
        <v>111784</v>
      </c>
      <c r="I304" s="12">
        <v>73587.5</v>
      </c>
      <c r="J304" s="40">
        <f t="shared" si="46"/>
        <v>3.2151291776998499E-2</v>
      </c>
      <c r="K304" s="11">
        <v>3594</v>
      </c>
      <c r="L304" s="6" t="b">
        <f t="shared" si="47"/>
        <v>0</v>
      </c>
      <c r="M304" s="11">
        <v>116</v>
      </c>
      <c r="N304" s="6" t="b">
        <f t="shared" si="49"/>
        <v>0</v>
      </c>
      <c r="O304" s="11">
        <v>24</v>
      </c>
      <c r="P304" s="6" t="b">
        <f t="shared" si="54"/>
        <v>0</v>
      </c>
      <c r="Q304" s="12">
        <v>119544</v>
      </c>
      <c r="R304" s="1">
        <f t="shared" si="50"/>
        <v>0</v>
      </c>
      <c r="S304" s="1">
        <f t="shared" si="51"/>
        <v>0</v>
      </c>
      <c r="T304" s="1">
        <f t="shared" si="52"/>
        <v>0</v>
      </c>
      <c r="U304" s="1">
        <f t="shared" si="53"/>
        <v>0</v>
      </c>
    </row>
    <row r="305" spans="1:21" ht="20" customHeight="1" x14ac:dyDescent="0.15">
      <c r="A305" s="8">
        <v>151</v>
      </c>
      <c r="B305" s="9" t="s">
        <v>40</v>
      </c>
      <c r="C305" s="41">
        <f t="shared" si="48"/>
        <v>44241</v>
      </c>
      <c r="D305" s="10" t="s">
        <v>23</v>
      </c>
      <c r="E305" s="36" t="str">
        <f t="shared" si="45"/>
        <v>facebook_retargeting</v>
      </c>
      <c r="F305" s="10" t="s">
        <v>14</v>
      </c>
      <c r="G305" s="11">
        <v>4387490</v>
      </c>
      <c r="H305" s="11">
        <v>55495</v>
      </c>
      <c r="I305" s="13">
        <v>4764.34</v>
      </c>
      <c r="J305" s="40">
        <f t="shared" si="46"/>
        <v>3.2255158122353363E-2</v>
      </c>
      <c r="K305" s="11">
        <v>1790</v>
      </c>
      <c r="L305" s="6" t="b">
        <f t="shared" si="47"/>
        <v>0</v>
      </c>
      <c r="M305" s="11">
        <v>10</v>
      </c>
      <c r="N305" s="6" t="b">
        <f t="shared" si="49"/>
        <v>0</v>
      </c>
      <c r="O305" s="11">
        <v>2</v>
      </c>
      <c r="P305" s="6" t="b">
        <f t="shared" si="54"/>
        <v>0</v>
      </c>
      <c r="Q305" s="12">
        <v>10902</v>
      </c>
      <c r="R305" s="1">
        <f t="shared" si="50"/>
        <v>0</v>
      </c>
      <c r="S305" s="1">
        <f t="shared" si="51"/>
        <v>0</v>
      </c>
      <c r="T305" s="1">
        <f t="shared" si="52"/>
        <v>0</v>
      </c>
      <c r="U305" s="1">
        <f t="shared" si="53"/>
        <v>0</v>
      </c>
    </row>
    <row r="306" spans="1:21" ht="20" customHeight="1" x14ac:dyDescent="0.15">
      <c r="A306" s="8">
        <v>107</v>
      </c>
      <c r="B306" s="9" t="s">
        <v>36</v>
      </c>
      <c r="C306" s="41">
        <f t="shared" si="48"/>
        <v>44237</v>
      </c>
      <c r="D306" s="10" t="s">
        <v>23</v>
      </c>
      <c r="E306" s="36" t="str">
        <f t="shared" si="45"/>
        <v>facebook_retargeting</v>
      </c>
      <c r="F306" s="10" t="s">
        <v>14</v>
      </c>
      <c r="G306" s="11">
        <v>4387490</v>
      </c>
      <c r="H306" s="11">
        <v>18399</v>
      </c>
      <c r="I306" s="12">
        <v>12713</v>
      </c>
      <c r="J306" s="40">
        <f t="shared" si="46"/>
        <v>3.2556117180281535E-2</v>
      </c>
      <c r="K306" s="11">
        <v>599</v>
      </c>
      <c r="L306" s="6" t="b">
        <f t="shared" si="47"/>
        <v>0</v>
      </c>
      <c r="M306" s="11">
        <v>22</v>
      </c>
      <c r="N306" s="6" t="b">
        <f t="shared" si="49"/>
        <v>0</v>
      </c>
      <c r="O306" s="11">
        <v>5</v>
      </c>
      <c r="P306" s="6" t="b">
        <f t="shared" si="54"/>
        <v>0</v>
      </c>
      <c r="Q306" s="12">
        <v>27065</v>
      </c>
      <c r="R306" s="1">
        <f t="shared" si="50"/>
        <v>0</v>
      </c>
      <c r="S306" s="1">
        <f t="shared" si="51"/>
        <v>0</v>
      </c>
      <c r="T306" s="1">
        <f t="shared" si="52"/>
        <v>0</v>
      </c>
      <c r="U306" s="1">
        <f t="shared" si="53"/>
        <v>0</v>
      </c>
    </row>
    <row r="307" spans="1:21" ht="20" customHeight="1" x14ac:dyDescent="0.15">
      <c r="A307" s="8">
        <v>162</v>
      </c>
      <c r="B307" s="9" t="s">
        <v>41</v>
      </c>
      <c r="C307" s="41">
        <f t="shared" si="48"/>
        <v>44242</v>
      </c>
      <c r="D307" s="10" t="s">
        <v>23</v>
      </c>
      <c r="E307" s="36" t="str">
        <f t="shared" si="45"/>
        <v>facebook_retargeting</v>
      </c>
      <c r="F307" s="10" t="s">
        <v>14</v>
      </c>
      <c r="G307" s="11">
        <v>4387490</v>
      </c>
      <c r="H307" s="11">
        <v>63986</v>
      </c>
      <c r="I307" s="12">
        <v>14609.5</v>
      </c>
      <c r="J307" s="40">
        <f t="shared" si="46"/>
        <v>3.2804050886131343E-2</v>
      </c>
      <c r="K307" s="11">
        <v>2099</v>
      </c>
      <c r="L307" s="6" t="b">
        <f t="shared" si="47"/>
        <v>0</v>
      </c>
      <c r="M307" s="11">
        <v>28</v>
      </c>
      <c r="N307" s="6" t="b">
        <f t="shared" si="49"/>
        <v>0</v>
      </c>
      <c r="O307" s="11">
        <v>5</v>
      </c>
      <c r="P307" s="6" t="b">
        <f t="shared" si="54"/>
        <v>0</v>
      </c>
      <c r="Q307" s="12">
        <v>24905</v>
      </c>
      <c r="R307" s="1">
        <f t="shared" si="50"/>
        <v>0</v>
      </c>
      <c r="S307" s="1">
        <f t="shared" si="51"/>
        <v>0</v>
      </c>
      <c r="T307" s="1">
        <f t="shared" si="52"/>
        <v>0</v>
      </c>
      <c r="U307" s="1">
        <f t="shared" si="53"/>
        <v>0</v>
      </c>
    </row>
    <row r="308" spans="1:21" ht="20" customHeight="1" x14ac:dyDescent="0.15">
      <c r="A308" s="8">
        <v>261</v>
      </c>
      <c r="B308" s="9" t="s">
        <v>50</v>
      </c>
      <c r="C308" s="41">
        <f t="shared" si="48"/>
        <v>44251</v>
      </c>
      <c r="D308" s="10" t="s">
        <v>23</v>
      </c>
      <c r="E308" s="36" t="str">
        <f t="shared" si="45"/>
        <v>facebook_retargeting</v>
      </c>
      <c r="F308" s="10" t="s">
        <v>14</v>
      </c>
      <c r="G308" s="11">
        <v>4387490</v>
      </c>
      <c r="H308" s="11">
        <v>8966</v>
      </c>
      <c r="I308" s="12">
        <v>2857.1</v>
      </c>
      <c r="J308" s="40">
        <f t="shared" si="46"/>
        <v>3.3125139415569931E-2</v>
      </c>
      <c r="K308" s="11">
        <v>297</v>
      </c>
      <c r="L308" s="6" t="b">
        <f t="shared" si="47"/>
        <v>0</v>
      </c>
      <c r="M308" s="11">
        <v>6</v>
      </c>
      <c r="N308" s="6" t="b">
        <f t="shared" si="49"/>
        <v>0</v>
      </c>
      <c r="O308" s="11">
        <v>1</v>
      </c>
      <c r="P308" s="6" t="b">
        <f t="shared" si="54"/>
        <v>0</v>
      </c>
      <c r="Q308" s="12">
        <v>4981</v>
      </c>
      <c r="R308" s="1">
        <f t="shared" si="50"/>
        <v>0</v>
      </c>
      <c r="S308" s="1">
        <f t="shared" si="51"/>
        <v>0</v>
      </c>
      <c r="T308" s="1">
        <f t="shared" si="52"/>
        <v>0</v>
      </c>
      <c r="U308" s="1">
        <f t="shared" si="53"/>
        <v>0</v>
      </c>
    </row>
    <row r="309" spans="1:21" ht="20" customHeight="1" x14ac:dyDescent="0.15">
      <c r="A309" s="8">
        <v>118</v>
      </c>
      <c r="B309" s="9" t="s">
        <v>37</v>
      </c>
      <c r="C309" s="41">
        <f t="shared" si="48"/>
        <v>44238</v>
      </c>
      <c r="D309" s="10" t="s">
        <v>23</v>
      </c>
      <c r="E309" s="36" t="str">
        <f t="shared" si="45"/>
        <v>facebook_retargeting</v>
      </c>
      <c r="F309" s="10" t="s">
        <v>14</v>
      </c>
      <c r="G309" s="11">
        <v>4387490</v>
      </c>
      <c r="H309" s="11">
        <v>26774</v>
      </c>
      <c r="I309" s="12">
        <v>17711.099999999999</v>
      </c>
      <c r="J309" s="40">
        <f t="shared" si="46"/>
        <v>3.3353253156046911E-2</v>
      </c>
      <c r="K309" s="11">
        <v>893</v>
      </c>
      <c r="L309" s="6" t="b">
        <f t="shared" si="47"/>
        <v>0</v>
      </c>
      <c r="M309" s="11">
        <v>27</v>
      </c>
      <c r="N309" s="6" t="b">
        <f t="shared" si="49"/>
        <v>0</v>
      </c>
      <c r="O309" s="11">
        <v>6</v>
      </c>
      <c r="P309" s="6" t="b">
        <f t="shared" si="54"/>
        <v>0</v>
      </c>
      <c r="Q309" s="12">
        <v>29886</v>
      </c>
      <c r="R309" s="1">
        <f t="shared" si="50"/>
        <v>0</v>
      </c>
      <c r="S309" s="1">
        <f t="shared" si="51"/>
        <v>0</v>
      </c>
      <c r="T309" s="1">
        <f t="shared" si="52"/>
        <v>0</v>
      </c>
      <c r="U309" s="1">
        <f t="shared" si="53"/>
        <v>0</v>
      </c>
    </row>
    <row r="310" spans="1:21" ht="20" customHeight="1" x14ac:dyDescent="0.15">
      <c r="A310" s="8">
        <v>239</v>
      </c>
      <c r="B310" s="9" t="s">
        <v>48</v>
      </c>
      <c r="C310" s="41">
        <f t="shared" si="48"/>
        <v>44249</v>
      </c>
      <c r="D310" s="10" t="s">
        <v>23</v>
      </c>
      <c r="E310" s="36" t="str">
        <f t="shared" si="45"/>
        <v>facebook_retargeting</v>
      </c>
      <c r="F310" s="10" t="s">
        <v>14</v>
      </c>
      <c r="G310" s="11">
        <v>4387490</v>
      </c>
      <c r="H310" s="11">
        <v>17821</v>
      </c>
      <c r="I310" s="13">
        <v>5792.48</v>
      </c>
      <c r="J310" s="40">
        <f t="shared" si="46"/>
        <v>3.3555917176364962E-2</v>
      </c>
      <c r="K310" s="11">
        <v>598</v>
      </c>
      <c r="L310" s="6" t="b">
        <f t="shared" si="47"/>
        <v>0</v>
      </c>
      <c r="M310" s="11">
        <v>12</v>
      </c>
      <c r="N310" s="6" t="b">
        <f t="shared" si="49"/>
        <v>0</v>
      </c>
      <c r="O310" s="11">
        <v>3</v>
      </c>
      <c r="P310" s="6" t="b">
        <f t="shared" si="54"/>
        <v>0</v>
      </c>
      <c r="Q310" s="12">
        <v>12168</v>
      </c>
      <c r="R310" s="1">
        <f t="shared" si="50"/>
        <v>0</v>
      </c>
      <c r="S310" s="1">
        <f t="shared" si="51"/>
        <v>0</v>
      </c>
      <c r="T310" s="1">
        <f t="shared" si="52"/>
        <v>0</v>
      </c>
      <c r="U310" s="1">
        <f t="shared" si="53"/>
        <v>0</v>
      </c>
    </row>
  </sheetData>
  <autoFilter ref="A2:U310" xr:uid="{00000000-0001-0000-0000-000000000000}"/>
  <mergeCells count="1">
    <mergeCell ref="A1:Q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080A8-6579-3F45-85A9-65DC2EBE49F0}">
  <sheetPr>
    <pageSetUpPr fitToPage="1"/>
  </sheetPr>
  <dimension ref="A1:AC58"/>
  <sheetViews>
    <sheetView showGridLines="0" zoomScale="87" workbookViewId="0">
      <selection activeCell="O16" sqref="O16"/>
    </sheetView>
  </sheetViews>
  <sheetFormatPr baseColWidth="10" defaultRowHeight="13" x14ac:dyDescent="0.15"/>
  <cols>
    <col min="1" max="1" width="16.5" customWidth="1"/>
    <col min="2" max="2" width="17.5" customWidth="1"/>
    <col min="3" max="3" width="14.6640625" customWidth="1"/>
    <col min="4" max="4" width="17.1640625" customWidth="1"/>
    <col min="27" max="27" width="17.33203125" customWidth="1"/>
  </cols>
  <sheetData>
    <row r="1" spans="1:28" ht="29" x14ac:dyDescent="0.15">
      <c r="A1" s="91" t="s">
        <v>168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</row>
    <row r="3" spans="1:28" ht="14" x14ac:dyDescent="0.15">
      <c r="A3" s="79" t="s">
        <v>169</v>
      </c>
      <c r="D3" s="79" t="s">
        <v>163</v>
      </c>
      <c r="G3" s="79" t="s">
        <v>164</v>
      </c>
      <c r="J3" s="79" t="s">
        <v>75</v>
      </c>
    </row>
    <row r="4" spans="1:28" ht="25" x14ac:dyDescent="0.15">
      <c r="A4" s="88">
        <f>GETPIVOTDATA("Sum of mark_spent",'Campaign-summary'!$A$3)</f>
        <v>30590879.82</v>
      </c>
      <c r="D4" s="88">
        <f>GETPIVOTDATA("Sum of revenue",'Campaign-summary'!$A$3)</f>
        <v>42889366</v>
      </c>
      <c r="G4" s="89">
        <f>GETPIVOTDATA("Sum of orders",'Campaign-summary'!$A$3)</f>
        <v>8043</v>
      </c>
      <c r="J4" s="90">
        <f>'Campaign-summary'!N15</f>
        <v>1.4020311364813829</v>
      </c>
    </row>
    <row r="6" spans="1:28" ht="14" x14ac:dyDescent="0.15">
      <c r="AA6" s="46" t="s">
        <v>165</v>
      </c>
      <c r="AB6" s="46" t="s">
        <v>75</v>
      </c>
    </row>
    <row r="7" spans="1:28" ht="28" x14ac:dyDescent="0.15">
      <c r="AA7" t="s">
        <v>19</v>
      </c>
      <c r="AB7" s="48">
        <f>_xlfn.XLOOKUP(AA7,'Campaign-summary'!$A$4:$A$14,'Campaign-summary'!$N$4:$N$14, "Not found")</f>
        <v>3.7732066438861067</v>
      </c>
    </row>
    <row r="8" spans="1:28" ht="28" x14ac:dyDescent="0.15">
      <c r="AA8" t="s">
        <v>23</v>
      </c>
      <c r="AB8" s="48">
        <f>_xlfn.XLOOKUP(AA8,'Campaign-summary'!$A$4:$A$14,'Campaign-summary'!$N$4:$N$14, "Not found")</f>
        <v>2.0149608456936865</v>
      </c>
    </row>
    <row r="9" spans="1:28" ht="14" x14ac:dyDescent="0.15">
      <c r="AA9" t="s">
        <v>16</v>
      </c>
      <c r="AB9" s="48">
        <f>_xlfn.XLOOKUP(AA9,'Campaign-summary'!$A$4:$A$14,'Campaign-summary'!$N$4:$N$14, "Not found")</f>
        <v>1.8381243993952128</v>
      </c>
    </row>
    <row r="10" spans="1:28" ht="28" x14ac:dyDescent="0.15">
      <c r="AA10" t="s">
        <v>21</v>
      </c>
      <c r="AB10" s="48">
        <f>_xlfn.XLOOKUP(AA10,'Campaign-summary'!$A$4:$A$14,'Campaign-summary'!$N$4:$N$14, "Not found")</f>
        <v>1.7713968343967499</v>
      </c>
    </row>
    <row r="11" spans="1:28" ht="28" x14ac:dyDescent="0.15">
      <c r="AA11" t="s">
        <v>25</v>
      </c>
      <c r="AB11" s="48">
        <f>_xlfn.XLOOKUP(AA11,'Campaign-summary'!$A$4:$A$14,'Campaign-summary'!$N$4:$N$14, "Not found")</f>
        <v>1.3675421079697134</v>
      </c>
    </row>
    <row r="12" spans="1:28" ht="28" x14ac:dyDescent="0.15">
      <c r="AA12" t="s">
        <v>26</v>
      </c>
      <c r="AB12" s="48">
        <f>_xlfn.XLOOKUP(AA12,'Campaign-summary'!$A$4:$A$14,'Campaign-summary'!$N$4:$N$14, "Not found")</f>
        <v>1.2240616896407279</v>
      </c>
    </row>
    <row r="13" spans="1:28" ht="28" x14ac:dyDescent="0.15">
      <c r="AA13" t="s">
        <v>13</v>
      </c>
      <c r="AB13" s="48">
        <f>_xlfn.XLOOKUP(AA13,'Campaign-summary'!$A$4:$A$14,'Campaign-summary'!$N$4:$N$14, "Not found")</f>
        <v>0.9343489129580913</v>
      </c>
    </row>
    <row r="14" spans="1:28" ht="28" x14ac:dyDescent="0.15">
      <c r="AA14" t="s">
        <v>67</v>
      </c>
      <c r="AB14" s="48">
        <f>_xlfn.XLOOKUP(AA14,'Campaign-summary'!$A$4:$A$14,'Campaign-summary'!$N$4:$N$14, "Not found")</f>
        <v>0.73783579099959795</v>
      </c>
    </row>
    <row r="15" spans="1:28" ht="14" x14ac:dyDescent="0.15">
      <c r="AA15" t="s">
        <v>18</v>
      </c>
      <c r="AB15" s="48">
        <f>_xlfn.XLOOKUP(AA15,'Campaign-summary'!$A$4:$A$14,'Campaign-summary'!$N$4:$N$14, "Not found")</f>
        <v>0.66329726202467987</v>
      </c>
    </row>
    <row r="16" spans="1:28" ht="28" x14ac:dyDescent="0.15">
      <c r="AA16" t="s">
        <v>22</v>
      </c>
      <c r="AB16" s="48">
        <f>_xlfn.XLOOKUP(AA16,'Campaign-summary'!$A$4:$A$14,'Campaign-summary'!$N$4:$N$14, "Not found")</f>
        <v>0.62885864257383139</v>
      </c>
    </row>
    <row r="17" spans="4:29" ht="14" x14ac:dyDescent="0.15">
      <c r="AA17" t="s">
        <v>24</v>
      </c>
      <c r="AB17" s="48">
        <f>_xlfn.XLOOKUP(AA17,'Campaign-summary'!$A$4:$A$14,'Campaign-summary'!$N$4:$N$14, "Not found")</f>
        <v>0.11364114490384723</v>
      </c>
    </row>
    <row r="19" spans="4:29" x14ac:dyDescent="0.15">
      <c r="D19" s="46"/>
    </row>
    <row r="22" spans="4:29" ht="28" x14ac:dyDescent="0.15">
      <c r="AA22" s="46" t="s">
        <v>112</v>
      </c>
      <c r="AB22" s="46" t="s">
        <v>110</v>
      </c>
      <c r="AC22" s="46" t="s">
        <v>166</v>
      </c>
    </row>
    <row r="23" spans="4:29" x14ac:dyDescent="0.15">
      <c r="AA23" s="68">
        <v>44228</v>
      </c>
      <c r="AB23" s="48">
        <f>_xlfn.XLOOKUP(AA23,Daily_analysis!$A$4:$A$31,Daily_analysis!$E$4:$E$31,"Not found")</f>
        <v>1.5116589289130711</v>
      </c>
      <c r="AC23" s="48">
        <f>'Campaign-summary'!$N$15</f>
        <v>1.4020311364813829</v>
      </c>
    </row>
    <row r="24" spans="4:29" x14ac:dyDescent="0.15">
      <c r="AA24" s="68">
        <v>44229</v>
      </c>
      <c r="AB24" s="48">
        <f>_xlfn.XLOOKUP(AA24,Daily_analysis!$A$4:$A$31,Daily_analysis!$E$4:$E$31,"Not found")</f>
        <v>1.6733353640292106</v>
      </c>
      <c r="AC24" s="48">
        <f>'Campaign-summary'!$N$15</f>
        <v>1.4020311364813829</v>
      </c>
    </row>
    <row r="25" spans="4:29" x14ac:dyDescent="0.15">
      <c r="AA25" s="68">
        <v>44230</v>
      </c>
      <c r="AB25" s="48">
        <f>_xlfn.XLOOKUP(AA25,Daily_analysis!$A$4:$A$31,Daily_analysis!$E$4:$E$31,"Not found")</f>
        <v>1.7155702842241258</v>
      </c>
      <c r="AC25" s="48">
        <f>'Campaign-summary'!$N$15</f>
        <v>1.4020311364813829</v>
      </c>
    </row>
    <row r="26" spans="4:29" x14ac:dyDescent="0.15">
      <c r="AA26" s="68">
        <v>44231</v>
      </c>
      <c r="AB26" s="48">
        <f>_xlfn.XLOOKUP(AA26,Daily_analysis!$A$4:$A$31,Daily_analysis!$E$4:$E$31,"Not found")</f>
        <v>1.3984822106389048</v>
      </c>
      <c r="AC26" s="48">
        <f>'Campaign-summary'!$N$15</f>
        <v>1.4020311364813829</v>
      </c>
    </row>
    <row r="27" spans="4:29" x14ac:dyDescent="0.15">
      <c r="AA27" s="68">
        <v>44232</v>
      </c>
      <c r="AB27" s="48">
        <f>_xlfn.XLOOKUP(AA27,Daily_analysis!$A$4:$A$31,Daily_analysis!$E$4:$E$31,"Not found")</f>
        <v>1.4356357375916495</v>
      </c>
      <c r="AC27" s="48">
        <f>'Campaign-summary'!$N$15</f>
        <v>1.4020311364813829</v>
      </c>
    </row>
    <row r="28" spans="4:29" x14ac:dyDescent="0.15">
      <c r="AA28" s="68">
        <v>44233</v>
      </c>
      <c r="AB28" s="48">
        <f>_xlfn.XLOOKUP(AA28,Daily_analysis!$A$4:$A$31,Daily_analysis!$E$4:$E$31,"Not found")</f>
        <v>1.360201862023432</v>
      </c>
      <c r="AC28" s="48">
        <f>'Campaign-summary'!$N$15</f>
        <v>1.4020311364813829</v>
      </c>
    </row>
    <row r="29" spans="4:29" x14ac:dyDescent="0.15">
      <c r="AA29" s="68">
        <v>44234</v>
      </c>
      <c r="AB29" s="48">
        <f>_xlfn.XLOOKUP(AA29,Daily_analysis!$A$4:$A$31,Daily_analysis!$E$4:$E$31,"Not found")</f>
        <v>1.4184788553976391</v>
      </c>
      <c r="AC29" s="48">
        <f>'Campaign-summary'!$N$15</f>
        <v>1.4020311364813829</v>
      </c>
    </row>
    <row r="30" spans="4:29" x14ac:dyDescent="0.15">
      <c r="AA30" s="68">
        <v>44235</v>
      </c>
      <c r="AB30" s="48">
        <f>_xlfn.XLOOKUP(AA30,Daily_analysis!$A$4:$A$31,Daily_analysis!$E$4:$E$31,"Not found")</f>
        <v>1.3525430925781359</v>
      </c>
      <c r="AC30" s="48">
        <f>'Campaign-summary'!$N$15</f>
        <v>1.4020311364813829</v>
      </c>
    </row>
    <row r="31" spans="4:29" x14ac:dyDescent="0.15">
      <c r="AA31" s="68">
        <v>44236</v>
      </c>
      <c r="AB31" s="48">
        <f>_xlfn.XLOOKUP(AA31,Daily_analysis!$A$4:$A$31,Daily_analysis!$E$4:$E$31,"Not found")</f>
        <v>1.3959193863351926</v>
      </c>
      <c r="AC31" s="48">
        <f>'Campaign-summary'!$N$15</f>
        <v>1.4020311364813829</v>
      </c>
    </row>
    <row r="32" spans="4:29" x14ac:dyDescent="0.15">
      <c r="AA32" s="68">
        <v>44237</v>
      </c>
      <c r="AB32" s="48">
        <f>_xlfn.XLOOKUP(AA32,Daily_analysis!$A$4:$A$31,Daily_analysis!$E$4:$E$31,"Not found")</f>
        <v>1.1115295557871083</v>
      </c>
      <c r="AC32" s="48">
        <f>'Campaign-summary'!$N$15</f>
        <v>1.4020311364813829</v>
      </c>
    </row>
    <row r="33" spans="27:29" x14ac:dyDescent="0.15">
      <c r="AA33" s="68">
        <v>44238</v>
      </c>
      <c r="AB33" s="48">
        <f>_xlfn.XLOOKUP(AA33,Daily_analysis!$A$4:$A$31,Daily_analysis!$E$4:$E$31,"Not found")</f>
        <v>1.7005341563296879</v>
      </c>
      <c r="AC33" s="48">
        <f>'Campaign-summary'!$N$15</f>
        <v>1.4020311364813829</v>
      </c>
    </row>
    <row r="34" spans="27:29" x14ac:dyDescent="0.15">
      <c r="AA34" s="68">
        <v>44239</v>
      </c>
      <c r="AB34" s="48">
        <f>_xlfn.XLOOKUP(AA34,Daily_analysis!$A$4:$A$31,Daily_analysis!$E$4:$E$31,"Not found")</f>
        <v>1.4347743888377582</v>
      </c>
      <c r="AC34" s="48">
        <f>'Campaign-summary'!$N$15</f>
        <v>1.4020311364813829</v>
      </c>
    </row>
    <row r="35" spans="27:29" x14ac:dyDescent="0.15">
      <c r="AA35" s="68">
        <v>44240</v>
      </c>
      <c r="AB35" s="48">
        <f>_xlfn.XLOOKUP(AA35,Daily_analysis!$A$4:$A$31,Daily_analysis!$E$4:$E$31,"Not found")</f>
        <v>1.5354894466049123</v>
      </c>
      <c r="AC35" s="48">
        <f>'Campaign-summary'!$N$15</f>
        <v>1.4020311364813829</v>
      </c>
    </row>
    <row r="36" spans="27:29" x14ac:dyDescent="0.15">
      <c r="AA36" s="68">
        <v>44241</v>
      </c>
      <c r="AB36" s="48">
        <f>_xlfn.XLOOKUP(AA36,Daily_analysis!$A$4:$A$31,Daily_analysis!$E$4:$E$31,"Not found")</f>
        <v>1.1680131633209265</v>
      </c>
      <c r="AC36" s="48">
        <f>'Campaign-summary'!$N$15</f>
        <v>1.4020311364813829</v>
      </c>
    </row>
    <row r="37" spans="27:29" x14ac:dyDescent="0.15">
      <c r="AA37" s="68">
        <v>44242</v>
      </c>
      <c r="AB37" s="48">
        <f>_xlfn.XLOOKUP(AA37,Daily_analysis!$A$4:$A$31,Daily_analysis!$E$4:$E$31,"Not found")</f>
        <v>1.4399221890234546</v>
      </c>
      <c r="AC37" s="48">
        <f>'Campaign-summary'!$N$15</f>
        <v>1.4020311364813829</v>
      </c>
    </row>
    <row r="38" spans="27:29" x14ac:dyDescent="0.15">
      <c r="AA38" s="68">
        <v>44243</v>
      </c>
      <c r="AB38" s="48">
        <f>_xlfn.XLOOKUP(AA38,Daily_analysis!$A$4:$A$31,Daily_analysis!$E$4:$E$31,"Not found")</f>
        <v>1.1927508459070486</v>
      </c>
      <c r="AC38" s="48">
        <f>'Campaign-summary'!$N$15</f>
        <v>1.4020311364813829</v>
      </c>
    </row>
    <row r="39" spans="27:29" x14ac:dyDescent="0.15">
      <c r="AA39" s="68">
        <v>44244</v>
      </c>
      <c r="AB39" s="48">
        <f>_xlfn.XLOOKUP(AA39,Daily_analysis!$A$4:$A$31,Daily_analysis!$E$4:$E$31,"Not found")</f>
        <v>1.2652895652985985</v>
      </c>
      <c r="AC39" s="48">
        <f>'Campaign-summary'!$N$15</f>
        <v>1.4020311364813829</v>
      </c>
    </row>
    <row r="40" spans="27:29" x14ac:dyDescent="0.15">
      <c r="AA40" s="68">
        <v>44245</v>
      </c>
      <c r="AB40" s="48">
        <f>_xlfn.XLOOKUP(AA40,Daily_analysis!$A$4:$A$31,Daily_analysis!$E$4:$E$31,"Not found")</f>
        <v>1.2321367368047593</v>
      </c>
      <c r="AC40" s="48">
        <f>'Campaign-summary'!$N$15</f>
        <v>1.4020311364813829</v>
      </c>
    </row>
    <row r="41" spans="27:29" x14ac:dyDescent="0.15">
      <c r="AA41" s="68">
        <v>44246</v>
      </c>
      <c r="AB41" s="48">
        <f>_xlfn.XLOOKUP(AA41,Daily_analysis!$A$4:$A$31,Daily_analysis!$E$4:$E$31,"Not found")</f>
        <v>1.6089361872092001</v>
      </c>
      <c r="AC41" s="48">
        <f>'Campaign-summary'!$N$15</f>
        <v>1.4020311364813829</v>
      </c>
    </row>
    <row r="42" spans="27:29" x14ac:dyDescent="0.15">
      <c r="AA42" s="68">
        <v>44247</v>
      </c>
      <c r="AB42" s="48">
        <f>_xlfn.XLOOKUP(AA42,Daily_analysis!$A$4:$A$31,Daily_analysis!$E$4:$E$31,"Not found")</f>
        <v>1.5036475632218904</v>
      </c>
      <c r="AC42" s="48">
        <f>'Campaign-summary'!$N$15</f>
        <v>1.4020311364813829</v>
      </c>
    </row>
    <row r="43" spans="27:29" x14ac:dyDescent="0.15">
      <c r="AA43" s="68">
        <v>44248</v>
      </c>
      <c r="AB43" s="48">
        <f>_xlfn.XLOOKUP(AA43,Daily_analysis!$A$4:$A$31,Daily_analysis!$E$4:$E$31,"Not found")</f>
        <v>1.4489874446869011</v>
      </c>
      <c r="AC43" s="48">
        <f>'Campaign-summary'!$N$15</f>
        <v>1.4020311364813829</v>
      </c>
    </row>
    <row r="44" spans="27:29" x14ac:dyDescent="0.15">
      <c r="AA44" s="68">
        <v>44249</v>
      </c>
      <c r="AB44" s="48">
        <f>_xlfn.XLOOKUP(AA44,Daily_analysis!$A$4:$A$31,Daily_analysis!$E$4:$E$31,"Not found")</f>
        <v>1.5301740612955705</v>
      </c>
      <c r="AC44" s="48">
        <f>'Campaign-summary'!$N$15</f>
        <v>1.4020311364813829</v>
      </c>
    </row>
    <row r="45" spans="27:29" x14ac:dyDescent="0.15">
      <c r="AA45" s="68">
        <v>44250</v>
      </c>
      <c r="AB45" s="48">
        <f>_xlfn.XLOOKUP(AA45,Daily_analysis!$A$4:$A$31,Daily_analysis!$E$4:$E$31,"Not found")</f>
        <v>1.3802192699481945</v>
      </c>
      <c r="AC45" s="48">
        <f>'Campaign-summary'!$N$15</f>
        <v>1.4020311364813829</v>
      </c>
    </row>
    <row r="46" spans="27:29" x14ac:dyDescent="0.15">
      <c r="AA46" s="68">
        <v>44251</v>
      </c>
      <c r="AB46" s="48">
        <f>_xlfn.XLOOKUP(AA46,Daily_analysis!$A$4:$A$31,Daily_analysis!$E$4:$E$31,"Not found")</f>
        <v>1.1920739468852068</v>
      </c>
      <c r="AC46" s="48">
        <f>'Campaign-summary'!$N$15</f>
        <v>1.4020311364813829</v>
      </c>
    </row>
    <row r="47" spans="27:29" x14ac:dyDescent="0.15">
      <c r="AA47" s="68">
        <v>44252</v>
      </c>
      <c r="AB47" s="48">
        <f>_xlfn.XLOOKUP(AA47,Daily_analysis!$A$4:$A$31,Daily_analysis!$E$4:$E$31,"Not found")</f>
        <v>1.4886655708140415</v>
      </c>
      <c r="AC47" s="48">
        <f>'Campaign-summary'!$N$15</f>
        <v>1.4020311364813829</v>
      </c>
    </row>
    <row r="48" spans="27:29" x14ac:dyDescent="0.15">
      <c r="AA48" s="68">
        <v>44253</v>
      </c>
      <c r="AB48" s="48">
        <f>_xlfn.XLOOKUP(AA48,Daily_analysis!$A$4:$A$31,Daily_analysis!$E$4:$E$31,"Not found")</f>
        <v>1.9458992285535046</v>
      </c>
      <c r="AC48" s="48">
        <f>'Campaign-summary'!$N$15</f>
        <v>1.4020311364813829</v>
      </c>
    </row>
    <row r="49" spans="27:29" x14ac:dyDescent="0.15">
      <c r="AA49" s="68">
        <v>44254</v>
      </c>
      <c r="AB49" s="48">
        <f>_xlfn.XLOOKUP(AA49,Daily_analysis!$A$4:$A$31,Daily_analysis!$E$4:$E$31,"Not found")</f>
        <v>1.4804483867094911</v>
      </c>
      <c r="AC49" s="48">
        <f>'Campaign-summary'!$N$15</f>
        <v>1.4020311364813829</v>
      </c>
    </row>
    <row r="50" spans="27:29" x14ac:dyDescent="0.15">
      <c r="AA50" s="68">
        <v>44255</v>
      </c>
      <c r="AB50" s="48">
        <f>_xlfn.XLOOKUP(AA50,Daily_analysis!$A$4:$A$31,Daily_analysis!$E$4:$E$31,"Not found")</f>
        <v>1.4272899013486395</v>
      </c>
      <c r="AC50" s="48">
        <f>'Campaign-summary'!$N$15</f>
        <v>1.4020311364813829</v>
      </c>
    </row>
    <row r="54" spans="27:29" ht="28" x14ac:dyDescent="0.15">
      <c r="AA54" s="46" t="s">
        <v>167</v>
      </c>
      <c r="AB54" s="46" t="s">
        <v>148</v>
      </c>
    </row>
    <row r="55" spans="27:29" ht="14" x14ac:dyDescent="0.15">
      <c r="AA55" t="s">
        <v>14</v>
      </c>
      <c r="AB55">
        <f>_xlfn.XLOOKUP(AA55,Category_analysis!$A$4:$A$7,Category_analysis!$B$4:$B$7,"Not found")</f>
        <v>13798500.91</v>
      </c>
    </row>
    <row r="56" spans="27:29" ht="14" x14ac:dyDescent="0.15">
      <c r="AA56" t="s">
        <v>20</v>
      </c>
      <c r="AB56">
        <f>_xlfn.XLOOKUP(AA56,Category_analysis!$A$4:$A$7,Category_analysis!$B$4:$B$7,"Not found")</f>
        <v>8305304.080000001</v>
      </c>
    </row>
    <row r="57" spans="27:29" ht="14" x14ac:dyDescent="0.15">
      <c r="AA57" t="s">
        <v>27</v>
      </c>
      <c r="AB57">
        <f>_xlfn.XLOOKUP(AA57,Category_analysis!$A$4:$A$7,Category_analysis!$B$4:$B$7,"Not found")</f>
        <v>5026674.76</v>
      </c>
    </row>
    <row r="58" spans="27:29" ht="14" x14ac:dyDescent="0.15">
      <c r="AA58" t="s">
        <v>17</v>
      </c>
      <c r="AB58">
        <f>_xlfn.XLOOKUP(AA58,Category_analysis!$A$4:$A$7,Category_analysis!$B$4:$B$7,"Not found")</f>
        <v>3460400.0700000012</v>
      </c>
    </row>
  </sheetData>
  <sortState xmlns:xlrd2="http://schemas.microsoft.com/office/spreadsheetml/2017/richdata2" ref="AA55:AB58">
    <sortCondition descending="1" ref="AB55:AB58"/>
  </sortState>
  <pageMargins left="0.7" right="0.7" top="0.75" bottom="0.75" header="0.3" footer="0.3"/>
  <pageSetup paperSize="9" scale="72" orientation="landscape" horizontalDpi="0" verticalDpi="0"/>
  <drawing r:id="rId1"/>
  <tableParts count="3"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E8E7B-7A7A-A54E-BEB0-70258DEE34AC}">
  <dimension ref="A1:F62"/>
  <sheetViews>
    <sheetView tabSelected="1" topLeftCell="A34" zoomScale="106" workbookViewId="0">
      <selection activeCell="C53" sqref="C53"/>
    </sheetView>
  </sheetViews>
  <sheetFormatPr baseColWidth="10" defaultRowHeight="13" x14ac:dyDescent="0.15"/>
  <cols>
    <col min="1" max="1" width="28.1640625" customWidth="1"/>
    <col min="2" max="2" width="23.83203125" customWidth="1"/>
    <col min="3" max="3" width="25.1640625" customWidth="1"/>
    <col min="4" max="4" width="37" customWidth="1"/>
    <col min="5" max="5" width="22.6640625" customWidth="1"/>
    <col min="6" max="6" width="25.83203125" customWidth="1"/>
    <col min="7" max="7" width="10.83203125" customWidth="1"/>
  </cols>
  <sheetData>
    <row r="1" spans="1:5" ht="14" x14ac:dyDescent="0.15">
      <c r="A1" s="67" t="s">
        <v>19</v>
      </c>
      <c r="B1" s="46" t="s">
        <v>90</v>
      </c>
    </row>
    <row r="3" spans="1:5" ht="42" customHeight="1" x14ac:dyDescent="0.15">
      <c r="A3" s="46" t="s">
        <v>85</v>
      </c>
      <c r="B3" s="64">
        <v>0.4</v>
      </c>
    </row>
    <row r="4" spans="1:5" ht="14" x14ac:dyDescent="0.15">
      <c r="A4" s="46" t="s">
        <v>86</v>
      </c>
      <c r="B4">
        <f>1/B3</f>
        <v>2.5</v>
      </c>
    </row>
    <row r="5" spans="1:5" ht="14" x14ac:dyDescent="0.15">
      <c r="A5" s="46" t="s">
        <v>87</v>
      </c>
      <c r="B5" s="48">
        <f>youtube_blogger!D4</f>
        <v>3.7732066438861067</v>
      </c>
    </row>
    <row r="6" spans="1:5" ht="42" customHeight="1" x14ac:dyDescent="0.15">
      <c r="A6" s="46" t="s">
        <v>88</v>
      </c>
      <c r="B6" t="str">
        <f>IF(B5&gt;=B4,"True","False")</f>
        <v>True</v>
      </c>
    </row>
    <row r="8" spans="1:5" ht="84" customHeight="1" x14ac:dyDescent="0.15">
      <c r="A8" s="46" t="s">
        <v>89</v>
      </c>
    </row>
    <row r="9" spans="1:5" ht="28" x14ac:dyDescent="0.15">
      <c r="A9" s="46" t="s">
        <v>91</v>
      </c>
      <c r="B9" s="59">
        <f>1/B5</f>
        <v>0.2650265660960669</v>
      </c>
    </row>
    <row r="10" spans="1:5" x14ac:dyDescent="0.15">
      <c r="A10" s="65"/>
      <c r="B10" s="65"/>
      <c r="C10" s="65"/>
      <c r="D10" s="65"/>
    </row>
    <row r="11" spans="1:5" x14ac:dyDescent="0.15">
      <c r="A11" s="65"/>
      <c r="B11" s="65"/>
      <c r="C11" s="65"/>
      <c r="D11" s="65"/>
    </row>
    <row r="12" spans="1:5" ht="14" x14ac:dyDescent="0.15">
      <c r="A12" s="67" t="s">
        <v>92</v>
      </c>
      <c r="B12" s="67" t="s">
        <v>87</v>
      </c>
      <c r="C12" s="67" t="s">
        <v>93</v>
      </c>
      <c r="D12" s="67" t="s">
        <v>94</v>
      </c>
      <c r="E12" s="67" t="s">
        <v>96</v>
      </c>
    </row>
    <row r="13" spans="1:5" ht="14" x14ac:dyDescent="0.15">
      <c r="A13" s="46" t="s">
        <v>19</v>
      </c>
      <c r="B13" s="48">
        <f>_xlfn.XLOOKUP(A13,'Campaign-summary'!$A$4:$A$14, 'Campaign-summary'!$N$4:$N$14, "Not found")</f>
        <v>3.7732066438861067</v>
      </c>
      <c r="C13" s="59">
        <f>1/B13</f>
        <v>0.2650265660960669</v>
      </c>
      <c r="E13" t="b">
        <f t="shared" ref="E13:E23" si="0">B13&gt;=$B$4</f>
        <v>1</v>
      </c>
    </row>
    <row r="14" spans="1:5" ht="28" x14ac:dyDescent="0.15">
      <c r="A14" s="46" t="s">
        <v>67</v>
      </c>
      <c r="B14" s="48">
        <f>_xlfn.XLOOKUP(A14,'Campaign-summary'!$A$4:$A$14, 'Campaign-summary'!$N$4:$N$14, "Not found")</f>
        <v>0.73783579099959795</v>
      </c>
      <c r="C14" s="59">
        <f>1/B14</f>
        <v>1.3553151150952298</v>
      </c>
      <c r="D14" s="46" t="s">
        <v>95</v>
      </c>
      <c r="E14" t="b">
        <f t="shared" si="0"/>
        <v>0</v>
      </c>
    </row>
    <row r="15" spans="1:5" ht="14" x14ac:dyDescent="0.15">
      <c r="A15" s="46" t="s">
        <v>26</v>
      </c>
      <c r="B15" s="48">
        <f>_xlfn.XLOOKUP(A15,'Campaign-summary'!$A$4:$A$14, 'Campaign-summary'!$N$4:$N$14, "Not found")</f>
        <v>1.2240616896407279</v>
      </c>
      <c r="C15" s="59">
        <f t="shared" ref="C15:C23" si="1">1/B15</f>
        <v>0.81695228962970656</v>
      </c>
      <c r="D15" s="46"/>
      <c r="E15" t="b">
        <f t="shared" si="0"/>
        <v>0</v>
      </c>
    </row>
    <row r="16" spans="1:5" ht="28" x14ac:dyDescent="0.15">
      <c r="A16" s="46" t="s">
        <v>24</v>
      </c>
      <c r="B16" s="48">
        <f>_xlfn.XLOOKUP(A16,'Campaign-summary'!$A$4:$A$14, 'Campaign-summary'!$N$4:$N$14, "Not found")</f>
        <v>0.11364114490384723</v>
      </c>
      <c r="C16" s="59">
        <f t="shared" si="1"/>
        <v>8.7996297542242186</v>
      </c>
      <c r="D16" s="46" t="s">
        <v>95</v>
      </c>
      <c r="E16" t="b">
        <f t="shared" si="0"/>
        <v>0</v>
      </c>
    </row>
    <row r="17" spans="1:5" ht="14" x14ac:dyDescent="0.15">
      <c r="A17" s="46" t="s">
        <v>23</v>
      </c>
      <c r="B17" s="48">
        <f>_xlfn.XLOOKUP(A17,'Campaign-summary'!$A$4:$A$14, 'Campaign-summary'!$N$4:$N$14, "Not found")</f>
        <v>2.0149608456936865</v>
      </c>
      <c r="C17" s="59">
        <f t="shared" si="1"/>
        <v>0.49628755920352985</v>
      </c>
      <c r="E17" t="b">
        <f t="shared" si="0"/>
        <v>0</v>
      </c>
    </row>
    <row r="18" spans="1:5" ht="28" x14ac:dyDescent="0.15">
      <c r="A18" s="46" t="s">
        <v>13</v>
      </c>
      <c r="B18" s="48">
        <f>_xlfn.XLOOKUP(A18,'Campaign-summary'!$A$4:$A$14, 'Campaign-summary'!$N$4:$N$14, "Not found")</f>
        <v>0.9343489129580913</v>
      </c>
      <c r="C18" s="59">
        <f t="shared" si="1"/>
        <v>1.0702639946720347</v>
      </c>
      <c r="D18" s="46" t="s">
        <v>95</v>
      </c>
      <c r="E18" t="b">
        <f t="shared" si="0"/>
        <v>0</v>
      </c>
    </row>
    <row r="19" spans="1:5" ht="14" x14ac:dyDescent="0.15">
      <c r="A19" s="46" t="s">
        <v>16</v>
      </c>
      <c r="B19" s="48">
        <f>_xlfn.XLOOKUP(A19,'Campaign-summary'!$A$4:$A$14, 'Campaign-summary'!$N$4:$N$14, "Not found")</f>
        <v>1.8381243993952128</v>
      </c>
      <c r="C19" s="59">
        <f t="shared" si="1"/>
        <v>0.54403281972048467</v>
      </c>
      <c r="E19" t="b">
        <f t="shared" si="0"/>
        <v>0</v>
      </c>
    </row>
    <row r="20" spans="1:5" ht="28" x14ac:dyDescent="0.15">
      <c r="A20" s="46" t="s">
        <v>18</v>
      </c>
      <c r="B20" s="48">
        <f>_xlfn.XLOOKUP(A20,'Campaign-summary'!$A$4:$A$14, 'Campaign-summary'!$N$4:$N$14, "Not found")</f>
        <v>0.66329726202467987</v>
      </c>
      <c r="C20" s="59">
        <f t="shared" si="1"/>
        <v>1.5076196710771168</v>
      </c>
      <c r="D20" s="46" t="s">
        <v>95</v>
      </c>
      <c r="E20" t="b">
        <f t="shared" si="0"/>
        <v>0</v>
      </c>
    </row>
    <row r="21" spans="1:5" ht="14" x14ac:dyDescent="0.15">
      <c r="A21" s="46" t="s">
        <v>25</v>
      </c>
      <c r="B21" s="48">
        <f>_xlfn.XLOOKUP(A21,'Campaign-summary'!$A$4:$A$14, 'Campaign-summary'!$N$4:$N$14, "Not found")</f>
        <v>1.3675421079697134</v>
      </c>
      <c r="C21" s="59">
        <f t="shared" si="1"/>
        <v>0.73123890969955185</v>
      </c>
      <c r="E21" t="b">
        <f t="shared" si="0"/>
        <v>0</v>
      </c>
    </row>
    <row r="22" spans="1:5" ht="14" x14ac:dyDescent="0.15">
      <c r="A22" s="46" t="s">
        <v>21</v>
      </c>
      <c r="B22" s="48">
        <f>_xlfn.XLOOKUP(A22,'Campaign-summary'!$A$4:$A$14, 'Campaign-summary'!$N$4:$N$14, "Not found")</f>
        <v>1.7713968343967499</v>
      </c>
      <c r="C22" s="59">
        <f t="shared" si="1"/>
        <v>0.5645262431218866</v>
      </c>
      <c r="E22" t="b">
        <f t="shared" si="0"/>
        <v>0</v>
      </c>
    </row>
    <row r="23" spans="1:5" ht="28" x14ac:dyDescent="0.15">
      <c r="A23" s="46" t="s">
        <v>22</v>
      </c>
      <c r="B23" s="48">
        <f>_xlfn.XLOOKUP(A23,'Campaign-summary'!$A$4:$A$14, 'Campaign-summary'!$N$4:$N$14, "Not found")</f>
        <v>0.62885864257383139</v>
      </c>
      <c r="C23" s="59">
        <f t="shared" si="1"/>
        <v>1.5901824866509562</v>
      </c>
      <c r="D23" s="46" t="s">
        <v>95</v>
      </c>
      <c r="E23" t="b">
        <f t="shared" si="0"/>
        <v>0</v>
      </c>
    </row>
    <row r="26" spans="1:5" ht="14" x14ac:dyDescent="0.15">
      <c r="A26" s="79" t="s">
        <v>92</v>
      </c>
      <c r="B26" s="79" t="s">
        <v>114</v>
      </c>
      <c r="C26" s="79" t="s">
        <v>115</v>
      </c>
      <c r="D26" s="79" t="s">
        <v>116</v>
      </c>
    </row>
    <row r="27" spans="1:5" ht="42" x14ac:dyDescent="0.15">
      <c r="A27" s="46" t="s">
        <v>24</v>
      </c>
      <c r="B27" s="46" t="s">
        <v>117</v>
      </c>
      <c r="C27" s="66" t="s">
        <v>118</v>
      </c>
      <c r="D27" s="46" t="s">
        <v>119</v>
      </c>
    </row>
    <row r="28" spans="1:5" ht="42" x14ac:dyDescent="0.15">
      <c r="A28" s="46" t="s">
        <v>22</v>
      </c>
      <c r="B28" s="46" t="s">
        <v>120</v>
      </c>
      <c r="C28" s="46" t="s">
        <v>121</v>
      </c>
      <c r="D28" s="46" t="s">
        <v>122</v>
      </c>
    </row>
    <row r="29" spans="1:5" ht="42" x14ac:dyDescent="0.15">
      <c r="A29" s="46" t="s">
        <v>19</v>
      </c>
      <c r="B29" s="46" t="s">
        <v>123</v>
      </c>
      <c r="C29" s="46" t="s">
        <v>124</v>
      </c>
      <c r="D29" s="46" t="s">
        <v>125</v>
      </c>
    </row>
    <row r="30" spans="1:5" ht="42" x14ac:dyDescent="0.15">
      <c r="A30" s="46" t="s">
        <v>67</v>
      </c>
      <c r="B30" s="46" t="s">
        <v>126</v>
      </c>
      <c r="C30" s="46" t="s">
        <v>127</v>
      </c>
      <c r="D30" s="46" t="s">
        <v>128</v>
      </c>
    </row>
    <row r="31" spans="1:5" ht="70" x14ac:dyDescent="0.15">
      <c r="A31" s="46" t="s">
        <v>23</v>
      </c>
      <c r="B31" s="46" t="s">
        <v>129</v>
      </c>
      <c r="C31" s="46" t="s">
        <v>130</v>
      </c>
      <c r="D31" s="46" t="s">
        <v>131</v>
      </c>
    </row>
    <row r="32" spans="1:5" ht="70" x14ac:dyDescent="0.15">
      <c r="A32" s="46" t="s">
        <v>21</v>
      </c>
      <c r="B32" s="46" t="s">
        <v>129</v>
      </c>
      <c r="C32" s="46" t="s">
        <v>132</v>
      </c>
      <c r="D32" s="46" t="s">
        <v>133</v>
      </c>
    </row>
    <row r="33" spans="1:6" ht="28" x14ac:dyDescent="0.15">
      <c r="A33" s="46" t="s">
        <v>13</v>
      </c>
      <c r="B33" s="46" t="s">
        <v>134</v>
      </c>
      <c r="C33" s="46" t="s">
        <v>135</v>
      </c>
      <c r="D33" s="46" t="s">
        <v>136</v>
      </c>
    </row>
    <row r="34" spans="1:6" ht="28" x14ac:dyDescent="0.15">
      <c r="A34" s="46" t="s">
        <v>18</v>
      </c>
      <c r="B34" s="46" t="s">
        <v>134</v>
      </c>
      <c r="C34" s="46" t="s">
        <v>137</v>
      </c>
      <c r="D34" s="46" t="s">
        <v>138</v>
      </c>
    </row>
    <row r="35" spans="1:6" ht="42" x14ac:dyDescent="0.15">
      <c r="A35" s="46" t="s">
        <v>26</v>
      </c>
      <c r="B35" s="46" t="s">
        <v>139</v>
      </c>
      <c r="C35" s="46" t="s">
        <v>140</v>
      </c>
      <c r="D35" s="46" t="s">
        <v>141</v>
      </c>
    </row>
    <row r="36" spans="1:6" ht="42" x14ac:dyDescent="0.15">
      <c r="A36" s="46" t="s">
        <v>16</v>
      </c>
      <c r="B36" s="46" t="s">
        <v>142</v>
      </c>
      <c r="C36" s="46" t="s">
        <v>143</v>
      </c>
      <c r="D36" s="46" t="s">
        <v>144</v>
      </c>
    </row>
    <row r="37" spans="1:6" ht="28" x14ac:dyDescent="0.15">
      <c r="A37" s="46" t="s">
        <v>25</v>
      </c>
      <c r="B37" s="46" t="s">
        <v>145</v>
      </c>
      <c r="C37" s="46" t="s">
        <v>146</v>
      </c>
      <c r="D37" s="46" t="s">
        <v>147</v>
      </c>
    </row>
    <row r="39" spans="1:6" x14ac:dyDescent="0.15">
      <c r="A39" s="82" t="s">
        <v>153</v>
      </c>
      <c r="B39" s="83"/>
      <c r="C39" s="83"/>
      <c r="D39" s="83"/>
      <c r="E39" s="83"/>
    </row>
    <row r="40" spans="1:6" x14ac:dyDescent="0.15">
      <c r="A40" s="83"/>
      <c r="B40" s="83"/>
      <c r="C40" s="83"/>
      <c r="D40" s="83"/>
      <c r="E40" s="83"/>
    </row>
    <row r="41" spans="1:6" ht="28" x14ac:dyDescent="0.15">
      <c r="A41" s="79" t="s">
        <v>92</v>
      </c>
      <c r="B41" s="79" t="s">
        <v>148</v>
      </c>
      <c r="C41" s="79" t="s">
        <v>149</v>
      </c>
      <c r="D41" s="79" t="s">
        <v>150</v>
      </c>
      <c r="E41" s="79" t="s">
        <v>152</v>
      </c>
      <c r="F41" s="79" t="s">
        <v>170</v>
      </c>
    </row>
    <row r="42" spans="1:6" ht="14" x14ac:dyDescent="0.15">
      <c r="A42" s="46" t="s">
        <v>26</v>
      </c>
      <c r="B42">
        <f>_xlfn.XLOOKUP(A42,'Campaign-summary'!$A$4:$A$14,'Campaign-summary'!$B$4:$B$14,"Not found")</f>
        <v>5026674.76</v>
      </c>
      <c r="C42" s="63">
        <v>0</v>
      </c>
      <c r="D42">
        <f>B42*(1+C42)</f>
        <v>5026674.76</v>
      </c>
      <c r="E42" s="46">
        <f>B42-D42</f>
        <v>0</v>
      </c>
      <c r="F42" t="b">
        <f>E42&lt;0</f>
        <v>0</v>
      </c>
    </row>
    <row r="43" spans="1:6" ht="14" x14ac:dyDescent="0.15">
      <c r="A43" s="46" t="s">
        <v>24</v>
      </c>
      <c r="B43">
        <f>_xlfn.XLOOKUP(A43,'Campaign-summary'!$A$4:$A$14,'Campaign-summary'!$B$4:$B$14,"Not found")</f>
        <v>2641939.2399999998</v>
      </c>
      <c r="C43" s="81">
        <v>-0.1</v>
      </c>
      <c r="D43" s="48">
        <f t="shared" ref="D43:D52" si="2">B43*(1+C43)</f>
        <v>2377745.3159999996</v>
      </c>
      <c r="E43" s="80">
        <f t="shared" ref="E43:E52" si="3">B43-D43</f>
        <v>264193.92400000012</v>
      </c>
      <c r="F43" t="b">
        <f t="shared" ref="F43:F53" si="4">E43&lt;0</f>
        <v>0</v>
      </c>
    </row>
    <row r="44" spans="1:6" ht="14" x14ac:dyDescent="0.15">
      <c r="A44" s="46" t="s">
        <v>23</v>
      </c>
      <c r="B44">
        <f>_xlfn.XLOOKUP(A44,'Campaign-summary'!$A$4:$A$14,'Campaign-summary'!$B$4:$B$14,"Not found")</f>
        <v>266466.22000000003</v>
      </c>
      <c r="C44" s="63">
        <v>0</v>
      </c>
      <c r="D44">
        <f t="shared" si="2"/>
        <v>266466.22000000003</v>
      </c>
      <c r="E44" s="46">
        <f t="shared" si="3"/>
        <v>0</v>
      </c>
      <c r="F44" t="b">
        <f t="shared" si="4"/>
        <v>0</v>
      </c>
    </row>
    <row r="45" spans="1:6" ht="14" x14ac:dyDescent="0.15">
      <c r="A45" s="46" t="s">
        <v>13</v>
      </c>
      <c r="B45">
        <f>_xlfn.XLOOKUP(A45,'Campaign-summary'!$A$4:$A$14,'Campaign-summary'!$B$4:$B$14,"Not found")</f>
        <v>2564793.48</v>
      </c>
      <c r="C45" s="63">
        <v>0</v>
      </c>
      <c r="D45">
        <f t="shared" si="2"/>
        <v>2564793.48</v>
      </c>
      <c r="E45" s="46">
        <f t="shared" si="3"/>
        <v>0</v>
      </c>
      <c r="F45" t="b">
        <f t="shared" si="4"/>
        <v>0</v>
      </c>
    </row>
    <row r="46" spans="1:6" ht="14" x14ac:dyDescent="0.15">
      <c r="A46" s="46" t="s">
        <v>67</v>
      </c>
      <c r="B46">
        <f>_xlfn.XLOOKUP(A46,'Campaign-summary'!$A$4:$A$14,'Campaign-summary'!$B$4:$B$14,"Not found")</f>
        <v>4693870.97</v>
      </c>
      <c r="C46" s="63">
        <v>0</v>
      </c>
      <c r="D46">
        <f t="shared" si="2"/>
        <v>4693870.97</v>
      </c>
      <c r="E46" s="46">
        <f t="shared" si="3"/>
        <v>0</v>
      </c>
      <c r="F46" t="b">
        <f t="shared" si="4"/>
        <v>0</v>
      </c>
    </row>
    <row r="47" spans="1:6" ht="14" x14ac:dyDescent="0.15">
      <c r="A47" s="46" t="s">
        <v>16</v>
      </c>
      <c r="B47">
        <f>_xlfn.XLOOKUP(A47,'Campaign-summary'!$A$4:$A$14,'Campaign-summary'!$B$4:$B$14,"Not found")</f>
        <v>1199998.76</v>
      </c>
      <c r="C47" s="63">
        <v>0</v>
      </c>
      <c r="D47">
        <f t="shared" si="2"/>
        <v>1199998.76</v>
      </c>
      <c r="E47" s="46">
        <f t="shared" si="3"/>
        <v>0</v>
      </c>
      <c r="F47" t="b">
        <f t="shared" si="4"/>
        <v>0</v>
      </c>
    </row>
    <row r="48" spans="1:6" ht="14" x14ac:dyDescent="0.15">
      <c r="A48" s="46" t="s">
        <v>18</v>
      </c>
      <c r="B48">
        <f>_xlfn.XLOOKUP(A48,'Campaign-summary'!$A$4:$A$14,'Campaign-summary'!$B$4:$B$14,"Not found")</f>
        <v>2260401.3100000005</v>
      </c>
      <c r="C48" s="63">
        <v>0</v>
      </c>
      <c r="D48">
        <f t="shared" si="2"/>
        <v>2260401.3100000005</v>
      </c>
      <c r="E48" s="46">
        <f t="shared" si="3"/>
        <v>0</v>
      </c>
      <c r="F48" t="b">
        <f t="shared" si="4"/>
        <v>0</v>
      </c>
    </row>
    <row r="49" spans="1:6" ht="14" x14ac:dyDescent="0.15">
      <c r="A49" s="46" t="s">
        <v>25</v>
      </c>
      <c r="B49">
        <f>_xlfn.XLOOKUP(A49,'Campaign-summary'!$A$4:$A$14,'Campaign-summary'!$B$4:$B$14,"Not found")</f>
        <v>4247367.57</v>
      </c>
      <c r="C49" s="63">
        <v>0</v>
      </c>
      <c r="D49">
        <f t="shared" si="2"/>
        <v>4247367.57</v>
      </c>
      <c r="E49" s="46">
        <f t="shared" si="3"/>
        <v>0</v>
      </c>
      <c r="F49" t="b">
        <f t="shared" si="4"/>
        <v>0</v>
      </c>
    </row>
    <row r="50" spans="1:6" ht="14" x14ac:dyDescent="0.15">
      <c r="A50" s="46" t="s">
        <v>21</v>
      </c>
      <c r="B50">
        <f>_xlfn.XLOOKUP(A50,'Campaign-summary'!$A$4:$A$14,'Campaign-summary'!$B$4:$B$14,"Not found")</f>
        <v>2565277.25</v>
      </c>
      <c r="C50" s="63">
        <v>0</v>
      </c>
      <c r="D50">
        <f t="shared" si="2"/>
        <v>2565277.25</v>
      </c>
      <c r="E50" s="46">
        <f t="shared" si="3"/>
        <v>0</v>
      </c>
      <c r="F50" t="b">
        <f t="shared" si="4"/>
        <v>0</v>
      </c>
    </row>
    <row r="51" spans="1:6" ht="14" x14ac:dyDescent="0.15">
      <c r="A51" s="46" t="s">
        <v>22</v>
      </c>
      <c r="B51">
        <f>_xlfn.XLOOKUP(A51,'Campaign-summary'!$A$4:$A$14,'Campaign-summary'!$B$4:$B$14,"Not found")</f>
        <v>1066153.75</v>
      </c>
      <c r="C51" s="63">
        <v>0</v>
      </c>
      <c r="D51">
        <f t="shared" si="2"/>
        <v>1066153.75</v>
      </c>
      <c r="E51" s="46">
        <f t="shared" si="3"/>
        <v>0</v>
      </c>
      <c r="F51" t="b">
        <f t="shared" si="4"/>
        <v>0</v>
      </c>
    </row>
    <row r="52" spans="1:6" ht="14" x14ac:dyDescent="0.15">
      <c r="A52" s="46" t="s">
        <v>19</v>
      </c>
      <c r="B52">
        <f>_xlfn.XLOOKUP(A52,'Campaign-summary'!$A$4:$A$14,'Campaign-summary'!$B$4:$B$14,"Not found")</f>
        <v>4057936.51</v>
      </c>
      <c r="C52" s="81">
        <v>0.05</v>
      </c>
      <c r="D52" s="48">
        <f t="shared" si="2"/>
        <v>4260833.3355</v>
      </c>
      <c r="E52" s="80">
        <f t="shared" si="3"/>
        <v>-202896.82550000027</v>
      </c>
      <c r="F52" t="b">
        <f t="shared" si="4"/>
        <v>1</v>
      </c>
    </row>
    <row r="53" spans="1:6" ht="14" x14ac:dyDescent="0.15">
      <c r="A53" s="79" t="s">
        <v>151</v>
      </c>
      <c r="B53">
        <f>SUM(B42:B52)</f>
        <v>30590879.82</v>
      </c>
      <c r="C53" s="92">
        <f>D53/B53-1</f>
        <v>-2.0037703675304108E-3</v>
      </c>
      <c r="D53">
        <f>SUM(D42:D52)</f>
        <v>30529582.721500002</v>
      </c>
      <c r="E53" s="80">
        <f>SUM(E42:E52)</f>
        <v>61297.098499999847</v>
      </c>
      <c r="F53" t="b">
        <f t="shared" si="4"/>
        <v>0</v>
      </c>
    </row>
    <row r="55" spans="1:6" x14ac:dyDescent="0.15">
      <c r="A55" s="84" t="s">
        <v>159</v>
      </c>
      <c r="B55" s="85"/>
    </row>
    <row r="56" spans="1:6" x14ac:dyDescent="0.15">
      <c r="A56" s="85"/>
      <c r="B56" s="85"/>
    </row>
    <row r="57" spans="1:6" ht="14" x14ac:dyDescent="0.15">
      <c r="A57" s="79" t="s">
        <v>154</v>
      </c>
      <c r="B57" s="79" t="s">
        <v>155</v>
      </c>
    </row>
    <row r="58" spans="1:6" ht="28" x14ac:dyDescent="0.15">
      <c r="A58" s="46" t="s">
        <v>156</v>
      </c>
      <c r="B58" s="46">
        <f>B53</f>
        <v>30590879.82</v>
      </c>
    </row>
    <row r="59" spans="1:6" ht="28" x14ac:dyDescent="0.15">
      <c r="A59" s="46" t="s">
        <v>157</v>
      </c>
      <c r="B59" s="46">
        <f>D53</f>
        <v>30529582.721500002</v>
      </c>
    </row>
    <row r="60" spans="1:6" ht="14" x14ac:dyDescent="0.15">
      <c r="A60" s="46" t="s">
        <v>158</v>
      </c>
      <c r="B60" s="80">
        <f>B58 - B59</f>
        <v>61297.09849999845</v>
      </c>
    </row>
    <row r="61" spans="1:6" ht="14" x14ac:dyDescent="0.15">
      <c r="A61" s="46" t="s">
        <v>160</v>
      </c>
      <c r="B61" s="46" t="s">
        <v>161</v>
      </c>
    </row>
    <row r="62" spans="1:6" ht="28" x14ac:dyDescent="0.15">
      <c r="A62" s="46" t="s">
        <v>162</v>
      </c>
      <c r="B62" s="46" t="b">
        <f>B60&lt;0</f>
        <v>0</v>
      </c>
    </row>
  </sheetData>
  <mergeCells count="2">
    <mergeCell ref="A39:E40"/>
    <mergeCell ref="A55:B56"/>
  </mergeCells>
  <phoneticPr fontId="6" type="noConversion"/>
  <conditionalFormatting sqref="C14:C23">
    <cfRule type="cellIs" dxfId="0" priority="1" operator="greaterThan">
      <formula>1</formula>
    </cfRule>
  </conditionalFormatting>
  <dataValidations count="2">
    <dataValidation type="decimal" operator="greaterThanOrEqual" allowBlank="1" showInputMessage="1" showErrorMessage="1" error="Enter a change of −100% or higher." sqref="C42:C52" xr:uid="{BD8A2F04-ECF0-EA4D-830D-95A3B43D8243}">
      <formula1>-1</formula1>
    </dataValidation>
    <dataValidation operator="greaterThanOrEqual" allowBlank="1" showInputMessage="1" showErrorMessage="1" error="Enter a change of −100% or higher." sqref="C53" xr:uid="{05383294-B4B4-2147-9459-8C09D6BAC70B}"/>
  </dataValidations>
  <pageMargins left="0.7" right="0.7" top="0.75" bottom="0.75" header="0.3" footer="0.3"/>
  <pageSetup paperSize="9" orientation="portrait" horizontalDpi="0" verticalDpi="0"/>
  <ignoredErrors>
    <ignoredError sqref="C53" formula="1"/>
  </ignoredErrors>
  <tableParts count="4">
    <tablePart r:id="rId1"/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DE94D-F0CB-FC4B-B6A4-B38A940EE770}">
  <dimension ref="A1:R15"/>
  <sheetViews>
    <sheetView zoomScale="109" workbookViewId="0">
      <selection activeCell="C13" sqref="C13"/>
    </sheetView>
  </sheetViews>
  <sheetFormatPr baseColWidth="10" defaultRowHeight="13" x14ac:dyDescent="0.15"/>
  <cols>
    <col min="1" max="1" width="12.83203125" bestFit="1" customWidth="1"/>
    <col min="2" max="2" width="12.33203125" bestFit="1" customWidth="1"/>
    <col min="3" max="3" width="9.1640625" bestFit="1" customWidth="1"/>
    <col min="4" max="4" width="10.6640625" bestFit="1" customWidth="1"/>
    <col min="5" max="5" width="11.1640625" bestFit="1" customWidth="1"/>
    <col min="6" max="6" width="8.1640625" bestFit="1" customWidth="1"/>
    <col min="7" max="7" width="6.6640625" bestFit="1" customWidth="1"/>
    <col min="8" max="8" width="6.6640625" customWidth="1"/>
    <col min="9" max="9" width="9.33203125" customWidth="1"/>
    <col min="10" max="12" width="24.83203125" customWidth="1"/>
    <col min="13" max="13" width="22.5" customWidth="1"/>
    <col min="15" max="15" width="12.6640625" bestFit="1" customWidth="1"/>
    <col min="17" max="17" width="12.6640625" bestFit="1" customWidth="1"/>
    <col min="18" max="18" width="13.6640625" bestFit="1" customWidth="1"/>
  </cols>
  <sheetData>
    <row r="1" spans="1:18" ht="14" x14ac:dyDescent="0.15">
      <c r="A1" s="60" t="s">
        <v>4</v>
      </c>
      <c r="B1" s="61" t="s">
        <v>84</v>
      </c>
    </row>
    <row r="3" spans="1:18" ht="28" x14ac:dyDescent="0.15">
      <c r="A3" s="21" t="s">
        <v>55</v>
      </c>
      <c r="B3" s="14" t="s">
        <v>70</v>
      </c>
      <c r="C3" s="22" t="s">
        <v>71</v>
      </c>
      <c r="D3" s="22" t="s">
        <v>73</v>
      </c>
      <c r="E3" s="22" t="s">
        <v>97</v>
      </c>
      <c r="F3" s="22" t="s">
        <v>78</v>
      </c>
      <c r="G3" s="42" t="s">
        <v>82</v>
      </c>
      <c r="H3" s="52" t="s">
        <v>68</v>
      </c>
      <c r="I3" s="52" t="s">
        <v>79</v>
      </c>
      <c r="J3" s="52" t="s">
        <v>81</v>
      </c>
      <c r="K3" s="52" t="s">
        <v>83</v>
      </c>
      <c r="L3" s="52" t="s">
        <v>80</v>
      </c>
      <c r="M3" s="52" t="s">
        <v>102</v>
      </c>
      <c r="N3" s="46" t="s">
        <v>75</v>
      </c>
      <c r="O3" s="46" t="s">
        <v>74</v>
      </c>
      <c r="P3" s="46" t="s">
        <v>72</v>
      </c>
      <c r="Q3" s="46" t="s">
        <v>98</v>
      </c>
      <c r="R3" s="46" t="s">
        <v>99</v>
      </c>
    </row>
    <row r="4" spans="1:18" ht="14" x14ac:dyDescent="0.15">
      <c r="A4" s="24" t="s">
        <v>26</v>
      </c>
      <c r="B4" s="27">
        <v>5026674.76</v>
      </c>
      <c r="C4" s="28">
        <v>1566</v>
      </c>
      <c r="D4" s="56">
        <v>6152960</v>
      </c>
      <c r="E4" s="28">
        <v>1068337427</v>
      </c>
      <c r="F4" s="28">
        <v>420003</v>
      </c>
      <c r="G4" s="43">
        <v>10149</v>
      </c>
      <c r="H4" s="69">
        <f>F4/E4</f>
        <v>3.9313702710894541E-4</v>
      </c>
      <c r="I4" s="70">
        <f>B4/F4</f>
        <v>11.968187751039872</v>
      </c>
      <c r="J4" s="69">
        <f>G4/F4</f>
        <v>2.4164113113477759E-2</v>
      </c>
      <c r="K4" s="69">
        <f>C4/G4</f>
        <v>0.15430091634643808</v>
      </c>
      <c r="L4" s="69">
        <f>C4/F4</f>
        <v>3.7285447961085991E-3</v>
      </c>
      <c r="M4" s="70">
        <f>B4-D4</f>
        <v>-1126285.2400000002</v>
      </c>
      <c r="N4" s="48">
        <f>(D4)/(B4)</f>
        <v>1.2240616896407279</v>
      </c>
      <c r="O4" s="48">
        <f>(D4)/(C4)</f>
        <v>3929.0932311621968</v>
      </c>
      <c r="P4" s="48">
        <f>(B4)/(C4)</f>
        <v>3209.8817113665386</v>
      </c>
      <c r="Q4" s="48">
        <f>B4/G4</f>
        <v>495.28768942752976</v>
      </c>
      <c r="R4" s="48">
        <f>(B4/E4)*1000</f>
        <v>4.7051377523255109</v>
      </c>
    </row>
    <row r="5" spans="1:18" ht="14" x14ac:dyDescent="0.15">
      <c r="A5" s="25" t="s">
        <v>24</v>
      </c>
      <c r="B5" s="30">
        <v>2641939.2399999998</v>
      </c>
      <c r="C5" s="31">
        <v>294</v>
      </c>
      <c r="D5" s="57">
        <v>300233</v>
      </c>
      <c r="E5" s="31">
        <v>12697701</v>
      </c>
      <c r="F5" s="31">
        <v>120012</v>
      </c>
      <c r="G5" s="44">
        <v>1909</v>
      </c>
      <c r="H5" s="69">
        <f t="shared" ref="H5:H15" si="0">F5/E5</f>
        <v>9.4514747197150095E-3</v>
      </c>
      <c r="I5" s="70">
        <f t="shared" ref="I5:I15" si="1">B5/F5</f>
        <v>22.013958937439586</v>
      </c>
      <c r="J5" s="69">
        <f t="shared" ref="J5:J15" si="2">G5/F5</f>
        <v>1.5906742659067427E-2</v>
      </c>
      <c r="K5" s="69">
        <f t="shared" ref="K5:K15" si="3">C5/G5</f>
        <v>0.15400733368255631</v>
      </c>
      <c r="L5" s="69">
        <f t="shared" ref="L5:L15" si="4">C5/F5</f>
        <v>2.4497550244975503E-3</v>
      </c>
      <c r="M5" s="70">
        <f t="shared" ref="M5:M15" si="5">B5-D5</f>
        <v>2341706.2399999998</v>
      </c>
      <c r="N5" s="48">
        <f t="shared" ref="N5:N15" si="6">(D5)/(B5)</f>
        <v>0.11364114490384723</v>
      </c>
      <c r="O5" s="48">
        <f t="shared" ref="O5:O15" si="7">(D5)/(C5)</f>
        <v>1021.2006802721088</v>
      </c>
      <c r="P5" s="48">
        <f t="shared" ref="P5:P15" si="8">(B5)/(C5)</f>
        <v>8986.1878911564618</v>
      </c>
      <c r="Q5" s="48">
        <f t="shared" ref="Q5:Q15" si="9">B5/G5</f>
        <v>1383.9388370874801</v>
      </c>
      <c r="R5" s="48">
        <f t="shared" ref="R5:R15" si="10">(B5/E5)*1000</f>
        <v>208.06437637805456</v>
      </c>
    </row>
    <row r="6" spans="1:18" ht="28" x14ac:dyDescent="0.15">
      <c r="A6" s="25" t="s">
        <v>23</v>
      </c>
      <c r="B6" s="30">
        <v>266466.22000000003</v>
      </c>
      <c r="C6" s="31">
        <v>108</v>
      </c>
      <c r="D6" s="57">
        <v>536919</v>
      </c>
      <c r="E6" s="31">
        <v>976685</v>
      </c>
      <c r="F6" s="31">
        <v>29954</v>
      </c>
      <c r="G6" s="44">
        <v>506</v>
      </c>
      <c r="H6" s="69">
        <f t="shared" si="0"/>
        <v>3.0669048874509181E-2</v>
      </c>
      <c r="I6" s="70">
        <f t="shared" si="1"/>
        <v>8.8958476330373255</v>
      </c>
      <c r="J6" s="69">
        <f t="shared" si="2"/>
        <v>1.6892568605194631E-2</v>
      </c>
      <c r="K6" s="69">
        <f t="shared" si="3"/>
        <v>0.2134387351778656</v>
      </c>
      <c r="L6" s="69">
        <f t="shared" si="4"/>
        <v>3.6055284769980636E-3</v>
      </c>
      <c r="M6" s="70">
        <f t="shared" si="5"/>
        <v>-270452.77999999997</v>
      </c>
      <c r="N6" s="48">
        <f t="shared" si="6"/>
        <v>2.0149608456936865</v>
      </c>
      <c r="O6" s="48">
        <f t="shared" si="7"/>
        <v>4971.4722222222226</v>
      </c>
      <c r="P6" s="48">
        <f t="shared" si="8"/>
        <v>2467.2798148148149</v>
      </c>
      <c r="Q6" s="48">
        <f t="shared" si="9"/>
        <v>526.61308300395262</v>
      </c>
      <c r="R6" s="48">
        <f t="shared" si="10"/>
        <v>272.82718583780854</v>
      </c>
    </row>
    <row r="7" spans="1:18" ht="14" x14ac:dyDescent="0.15">
      <c r="A7" s="25" t="s">
        <v>13</v>
      </c>
      <c r="B7" s="30">
        <v>2564793.48</v>
      </c>
      <c r="C7" s="31">
        <v>474</v>
      </c>
      <c r="D7" s="57">
        <v>2396412</v>
      </c>
      <c r="E7" s="31">
        <v>63044882</v>
      </c>
      <c r="F7" s="31">
        <v>239997</v>
      </c>
      <c r="G7" s="44">
        <v>3535</v>
      </c>
      <c r="H7" s="69">
        <f t="shared" si="0"/>
        <v>3.806764203317884E-3</v>
      </c>
      <c r="I7" s="70">
        <f t="shared" si="1"/>
        <v>10.686773084663558</v>
      </c>
      <c r="J7" s="69">
        <f t="shared" si="2"/>
        <v>1.472935078355146E-2</v>
      </c>
      <c r="K7" s="69">
        <f t="shared" si="3"/>
        <v>0.13408769448373409</v>
      </c>
      <c r="L7" s="69">
        <f t="shared" si="4"/>
        <v>1.9750246878085975E-3</v>
      </c>
      <c r="M7" s="70">
        <f t="shared" si="5"/>
        <v>168381.47999999998</v>
      </c>
      <c r="N7" s="48">
        <f t="shared" si="6"/>
        <v>0.9343489129580913</v>
      </c>
      <c r="O7" s="48">
        <f t="shared" si="7"/>
        <v>5055.7215189873414</v>
      </c>
      <c r="P7" s="48">
        <f t="shared" si="8"/>
        <v>5410.9567088607591</v>
      </c>
      <c r="Q7" s="48">
        <f t="shared" si="9"/>
        <v>725.54271004243276</v>
      </c>
      <c r="R7" s="48">
        <f t="shared" si="10"/>
        <v>40.682025227678274</v>
      </c>
    </row>
    <row r="8" spans="1:18" ht="14" x14ac:dyDescent="0.15">
      <c r="A8" s="25" t="s">
        <v>67</v>
      </c>
      <c r="B8" s="30">
        <v>4693870.97</v>
      </c>
      <c r="C8" s="31">
        <v>688</v>
      </c>
      <c r="D8" s="57">
        <v>3463306</v>
      </c>
      <c r="E8" s="31">
        <v>69623161</v>
      </c>
      <c r="F8" s="31">
        <v>329973</v>
      </c>
      <c r="G8" s="44">
        <v>8428</v>
      </c>
      <c r="H8" s="69">
        <f t="shared" si="0"/>
        <v>4.7394142302731703E-3</v>
      </c>
      <c r="I8" s="70">
        <f t="shared" si="1"/>
        <v>14.225015289129717</v>
      </c>
      <c r="J8" s="69">
        <f t="shared" si="2"/>
        <v>2.554148369715098E-2</v>
      </c>
      <c r="K8" s="69">
        <f t="shared" si="3"/>
        <v>8.1632653061224483E-2</v>
      </c>
      <c r="L8" s="69">
        <f t="shared" si="4"/>
        <v>2.0850190773184472E-3</v>
      </c>
      <c r="M8" s="70">
        <f t="shared" si="5"/>
        <v>1230564.9699999997</v>
      </c>
      <c r="N8" s="48">
        <f t="shared" si="6"/>
        <v>0.73783579099959795</v>
      </c>
      <c r="O8" s="48">
        <f t="shared" si="7"/>
        <v>5033.875</v>
      </c>
      <c r="P8" s="48">
        <f t="shared" si="8"/>
        <v>6822.4868749999996</v>
      </c>
      <c r="Q8" s="48">
        <f t="shared" si="9"/>
        <v>556.93770408163266</v>
      </c>
      <c r="R8" s="48">
        <f t="shared" si="10"/>
        <v>67.418239887154783</v>
      </c>
    </row>
    <row r="9" spans="1:18" ht="14" x14ac:dyDescent="0.15">
      <c r="A9" s="25" t="s">
        <v>16</v>
      </c>
      <c r="B9" s="30">
        <v>1199998.76</v>
      </c>
      <c r="C9" s="31">
        <v>281</v>
      </c>
      <c r="D9" s="57">
        <v>2205747</v>
      </c>
      <c r="E9" s="31">
        <v>4628993</v>
      </c>
      <c r="F9" s="31">
        <v>90048</v>
      </c>
      <c r="G9" s="44">
        <v>1833</v>
      </c>
      <c r="H9" s="69">
        <f t="shared" si="0"/>
        <v>1.9453043026852707E-2</v>
      </c>
      <c r="I9" s="70">
        <f t="shared" si="1"/>
        <v>13.326212242359631</v>
      </c>
      <c r="J9" s="69">
        <f t="shared" si="2"/>
        <v>2.0355810234541579E-2</v>
      </c>
      <c r="K9" s="69">
        <f t="shared" si="3"/>
        <v>0.15330060010911076</v>
      </c>
      <c r="L9" s="69">
        <f t="shared" si="4"/>
        <v>3.1205579246624021E-3</v>
      </c>
      <c r="M9" s="70">
        <f t="shared" si="5"/>
        <v>-1005748.24</v>
      </c>
      <c r="N9" s="48">
        <f>(D9)/(B9)</f>
        <v>1.8381243993952128</v>
      </c>
      <c r="O9" s="48">
        <f t="shared" si="7"/>
        <v>7849.6334519572956</v>
      </c>
      <c r="P9" s="48">
        <f t="shared" si="8"/>
        <v>4270.4582206405694</v>
      </c>
      <c r="Q9" s="48">
        <f t="shared" si="9"/>
        <v>654.66380796508452</v>
      </c>
      <c r="R9" s="48">
        <f t="shared" si="10"/>
        <v>259.23538013559323</v>
      </c>
    </row>
    <row r="10" spans="1:18" ht="14" x14ac:dyDescent="0.15">
      <c r="A10" s="25" t="s">
        <v>18</v>
      </c>
      <c r="B10" s="30">
        <v>2260401.3100000005</v>
      </c>
      <c r="C10" s="31">
        <v>547</v>
      </c>
      <c r="D10" s="57">
        <v>1499318</v>
      </c>
      <c r="E10" s="31">
        <v>67669259</v>
      </c>
      <c r="F10" s="31">
        <v>240006</v>
      </c>
      <c r="G10" s="44">
        <v>5274</v>
      </c>
      <c r="H10" s="69">
        <f t="shared" si="0"/>
        <v>3.5467508222603709E-3</v>
      </c>
      <c r="I10" s="70">
        <f t="shared" si="1"/>
        <v>9.4181033390831921</v>
      </c>
      <c r="J10" s="69">
        <f t="shared" si="2"/>
        <v>2.197445063873403E-2</v>
      </c>
      <c r="K10" s="69">
        <f t="shared" si="3"/>
        <v>0.10371634433067881</v>
      </c>
      <c r="L10" s="69">
        <f t="shared" si="4"/>
        <v>2.2791096889244436E-3</v>
      </c>
      <c r="M10" s="70">
        <f t="shared" si="5"/>
        <v>761083.31000000052</v>
      </c>
      <c r="N10" s="48">
        <f t="shared" si="6"/>
        <v>0.66329726202467987</v>
      </c>
      <c r="O10" s="48">
        <f t="shared" si="7"/>
        <v>2740.9835466179161</v>
      </c>
      <c r="P10" s="48">
        <f t="shared" si="8"/>
        <v>4132.3607129798911</v>
      </c>
      <c r="Q10" s="48">
        <f t="shared" si="9"/>
        <v>428.59334660599177</v>
      </c>
      <c r="R10" s="48">
        <f t="shared" si="10"/>
        <v>33.403665762026456</v>
      </c>
    </row>
    <row r="11" spans="1:18" ht="28" x14ac:dyDescent="0.15">
      <c r="A11" s="25" t="s">
        <v>25</v>
      </c>
      <c r="B11" s="30">
        <v>4247367.57</v>
      </c>
      <c r="C11" s="31">
        <v>1100</v>
      </c>
      <c r="D11" s="57">
        <v>5808454</v>
      </c>
      <c r="E11" s="31">
        <v>34112411</v>
      </c>
      <c r="F11" s="31">
        <v>299959</v>
      </c>
      <c r="G11" s="44">
        <v>7008</v>
      </c>
      <c r="H11" s="69">
        <f t="shared" si="0"/>
        <v>8.7932512304685819E-3</v>
      </c>
      <c r="I11" s="70">
        <f t="shared" si="1"/>
        <v>14.159827076367105</v>
      </c>
      <c r="J11" s="69">
        <f t="shared" si="2"/>
        <v>2.3363192969705859E-2</v>
      </c>
      <c r="K11" s="69">
        <f>C11/G11</f>
        <v>0.1569634703196347</v>
      </c>
      <c r="L11" s="69">
        <f t="shared" si="4"/>
        <v>3.6671678462723237E-3</v>
      </c>
      <c r="M11" s="70">
        <f t="shared" si="5"/>
        <v>-1561086.4299999997</v>
      </c>
      <c r="N11" s="48">
        <f t="shared" si="6"/>
        <v>1.3675421079697134</v>
      </c>
      <c r="O11" s="48">
        <f t="shared" si="7"/>
        <v>5280.4127272727274</v>
      </c>
      <c r="P11" s="48">
        <f t="shared" si="8"/>
        <v>3861.2432454545456</v>
      </c>
      <c r="Q11" s="48">
        <f t="shared" si="9"/>
        <v>606.07413955479456</v>
      </c>
      <c r="R11" s="48">
        <f t="shared" si="10"/>
        <v>124.51091686248739</v>
      </c>
    </row>
    <row r="12" spans="1:18" ht="14" x14ac:dyDescent="0.15">
      <c r="A12" s="25" t="s">
        <v>21</v>
      </c>
      <c r="B12" s="30">
        <v>2565277.25</v>
      </c>
      <c r="C12" s="31">
        <v>758</v>
      </c>
      <c r="D12" s="57">
        <v>4544124</v>
      </c>
      <c r="E12" s="31">
        <v>75136799</v>
      </c>
      <c r="F12" s="31">
        <v>269961</v>
      </c>
      <c r="G12" s="44">
        <v>6632</v>
      </c>
      <c r="H12" s="69">
        <f t="shared" si="0"/>
        <v>3.5929265498787087E-3</v>
      </c>
      <c r="I12" s="70">
        <f t="shared" si="1"/>
        <v>9.5023994206570581</v>
      </c>
      <c r="J12" s="69">
        <f t="shared" si="2"/>
        <v>2.4566511459062607E-2</v>
      </c>
      <c r="K12" s="69">
        <f t="shared" si="3"/>
        <v>0.11429433051869722</v>
      </c>
      <c r="L12" s="69">
        <f t="shared" si="4"/>
        <v>2.8078129803934641E-3</v>
      </c>
      <c r="M12" s="70">
        <f t="shared" si="5"/>
        <v>-1978846.75</v>
      </c>
      <c r="N12" s="48">
        <f t="shared" si="6"/>
        <v>1.7713968343967499</v>
      </c>
      <c r="O12" s="48">
        <f t="shared" si="7"/>
        <v>5994.8865435356201</v>
      </c>
      <c r="P12" s="48">
        <f t="shared" si="8"/>
        <v>3384.2707783641163</v>
      </c>
      <c r="Q12" s="48">
        <f t="shared" si="9"/>
        <v>386.80296290711703</v>
      </c>
      <c r="R12" s="48">
        <f t="shared" si="10"/>
        <v>34.141423166030805</v>
      </c>
    </row>
    <row r="13" spans="1:18" ht="14" x14ac:dyDescent="0.15">
      <c r="A13" s="25" t="s">
        <v>22</v>
      </c>
      <c r="B13" s="30">
        <v>1066153.75</v>
      </c>
      <c r="C13" s="31">
        <v>313</v>
      </c>
      <c r="D13" s="57">
        <v>670460</v>
      </c>
      <c r="E13" s="31">
        <v>137806768</v>
      </c>
      <c r="F13" s="31">
        <v>509992</v>
      </c>
      <c r="G13" s="44">
        <v>10374</v>
      </c>
      <c r="H13" s="69">
        <f t="shared" si="0"/>
        <v>3.7007761476562603E-3</v>
      </c>
      <c r="I13" s="70">
        <f t="shared" si="1"/>
        <v>2.0905303416524181</v>
      </c>
      <c r="J13" s="69">
        <f t="shared" si="2"/>
        <v>2.0341495552871416E-2</v>
      </c>
      <c r="K13" s="69">
        <f t="shared" si="3"/>
        <v>3.0171582803161751E-2</v>
      </c>
      <c r="L13" s="69">
        <f t="shared" si="4"/>
        <v>6.1373511741360653E-4</v>
      </c>
      <c r="M13" s="70">
        <f t="shared" si="5"/>
        <v>395693.75</v>
      </c>
      <c r="N13" s="48">
        <f t="shared" si="6"/>
        <v>0.62885864257383139</v>
      </c>
      <c r="O13" s="48">
        <f t="shared" si="7"/>
        <v>2142.0447284345046</v>
      </c>
      <c r="P13" s="48">
        <f t="shared" si="8"/>
        <v>3406.2420127795526</v>
      </c>
      <c r="Q13" s="48">
        <f t="shared" si="9"/>
        <v>102.77171293618662</v>
      </c>
      <c r="R13" s="48">
        <f t="shared" si="10"/>
        <v>7.7365848243389612</v>
      </c>
    </row>
    <row r="14" spans="1:18" ht="28" x14ac:dyDescent="0.15">
      <c r="A14" s="25" t="s">
        <v>19</v>
      </c>
      <c r="B14" s="30">
        <v>4057936.51</v>
      </c>
      <c r="C14" s="31">
        <v>1914</v>
      </c>
      <c r="D14" s="57">
        <v>15311433</v>
      </c>
      <c r="E14" s="31">
        <v>43688313</v>
      </c>
      <c r="F14" s="31">
        <v>450014</v>
      </c>
      <c r="G14" s="44">
        <v>9931</v>
      </c>
      <c r="H14" s="69">
        <f t="shared" si="0"/>
        <v>1.0300557954709764E-2</v>
      </c>
      <c r="I14" s="70">
        <f t="shared" si="1"/>
        <v>9.0173561489198111</v>
      </c>
      <c r="J14" s="69">
        <f t="shared" si="2"/>
        <v>2.2068202322594408E-2</v>
      </c>
      <c r="K14" s="69">
        <f t="shared" si="3"/>
        <v>0.19272983586748565</v>
      </c>
      <c r="L14" s="69">
        <f t="shared" si="4"/>
        <v>4.2532010115240862E-3</v>
      </c>
      <c r="M14" s="70">
        <f t="shared" si="5"/>
        <v>-11253496.49</v>
      </c>
      <c r="N14" s="48">
        <f t="shared" si="6"/>
        <v>3.7732066438861067</v>
      </c>
      <c r="O14" s="48">
        <f t="shared" si="7"/>
        <v>7999.7037617554861</v>
      </c>
      <c r="P14" s="48">
        <f t="shared" si="8"/>
        <v>2120.1340177638453</v>
      </c>
      <c r="Q14" s="48">
        <f t="shared" si="9"/>
        <v>408.61308126069878</v>
      </c>
      <c r="R14" s="48">
        <f t="shared" si="10"/>
        <v>92.883799610206964</v>
      </c>
    </row>
    <row r="15" spans="1:18" ht="14" x14ac:dyDescent="0.15">
      <c r="A15" s="26" t="s">
        <v>56</v>
      </c>
      <c r="B15" s="33">
        <v>30590879.82</v>
      </c>
      <c r="C15" s="34">
        <v>8043</v>
      </c>
      <c r="D15" s="58">
        <v>42889366</v>
      </c>
      <c r="E15" s="34">
        <v>1577722399</v>
      </c>
      <c r="F15" s="34">
        <v>2999919</v>
      </c>
      <c r="G15" s="45">
        <v>65579</v>
      </c>
      <c r="H15" s="69">
        <f t="shared" si="0"/>
        <v>1.9014238511802987E-3</v>
      </c>
      <c r="I15" s="70">
        <f t="shared" si="1"/>
        <v>10.197235265352164</v>
      </c>
      <c r="J15" s="69">
        <f t="shared" si="2"/>
        <v>2.1860256893602794E-2</v>
      </c>
      <c r="K15" s="69">
        <f t="shared" si="3"/>
        <v>0.12264596898397352</v>
      </c>
      <c r="L15" s="69">
        <f t="shared" si="4"/>
        <v>2.6810723889545019E-3</v>
      </c>
      <c r="M15" s="70">
        <f t="shared" si="5"/>
        <v>-12298486.18</v>
      </c>
      <c r="N15" s="48">
        <f t="shared" si="6"/>
        <v>1.4020311364813829</v>
      </c>
      <c r="O15" s="48">
        <f t="shared" si="7"/>
        <v>5332.5085167226162</v>
      </c>
      <c r="P15" s="48">
        <f t="shared" si="8"/>
        <v>3803.4166132040282</v>
      </c>
      <c r="Q15" s="48">
        <f t="shared" si="9"/>
        <v>466.47371597615091</v>
      </c>
      <c r="R15" s="48">
        <f t="shared" si="10"/>
        <v>19.38926634963747</v>
      </c>
    </row>
  </sheetData>
  <autoFilter ref="A3:D15" xr:uid="{CA8DE94D-F0CB-FC4B-B6A4-B38A940EE770}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DD6F8-3E2E-5240-BC2A-35CD4E8A9752}">
  <dimension ref="A3:M8"/>
  <sheetViews>
    <sheetView topLeftCell="B1" zoomScale="141" workbookViewId="0">
      <selection activeCell="E15" sqref="E15"/>
    </sheetView>
  </sheetViews>
  <sheetFormatPr baseColWidth="10" defaultRowHeight="13" x14ac:dyDescent="0.15"/>
  <cols>
    <col min="1" max="1" width="12.5" bestFit="1" customWidth="1"/>
    <col min="2" max="2" width="15.83203125" bestFit="1" customWidth="1"/>
    <col min="3" max="3" width="11.83203125" bestFit="1" customWidth="1"/>
    <col min="4" max="4" width="13" bestFit="1" customWidth="1"/>
    <col min="5" max="5" width="11.1640625" bestFit="1" customWidth="1"/>
    <col min="6" max="6" width="11" bestFit="1" customWidth="1"/>
    <col min="7" max="7" width="14.33203125" customWidth="1"/>
    <col min="8" max="8" width="19" customWidth="1"/>
    <col min="9" max="9" width="13.5" customWidth="1"/>
    <col min="10" max="10" width="12.33203125" customWidth="1"/>
    <col min="11" max="11" width="15.83203125" customWidth="1"/>
    <col min="12" max="12" width="14.1640625" customWidth="1"/>
    <col min="13" max="13" width="15.83203125" customWidth="1"/>
  </cols>
  <sheetData>
    <row r="3" spans="1:13" ht="14" x14ac:dyDescent="0.15">
      <c r="A3" s="21" t="s">
        <v>55</v>
      </c>
      <c r="B3" s="14" t="s">
        <v>70</v>
      </c>
      <c r="C3" s="22" t="s">
        <v>71</v>
      </c>
      <c r="D3" s="22" t="s">
        <v>73</v>
      </c>
      <c r="E3" s="22" t="s">
        <v>78</v>
      </c>
      <c r="F3" s="42" t="s">
        <v>82</v>
      </c>
      <c r="G3" s="52" t="s">
        <v>100</v>
      </c>
      <c r="H3" s="52" t="s">
        <v>101</v>
      </c>
      <c r="I3" s="52" t="s">
        <v>103</v>
      </c>
      <c r="J3" s="52" t="s">
        <v>104</v>
      </c>
      <c r="K3" s="52" t="s">
        <v>105</v>
      </c>
      <c r="L3" s="52" t="s">
        <v>106</v>
      </c>
      <c r="M3" s="52" t="s">
        <v>107</v>
      </c>
    </row>
    <row r="4" spans="1:13" ht="14" x14ac:dyDescent="0.15">
      <c r="A4" s="24" t="s">
        <v>20</v>
      </c>
      <c r="B4" s="27">
        <v>8305304.080000001</v>
      </c>
      <c r="C4" s="28">
        <v>3014</v>
      </c>
      <c r="D4" s="56">
        <v>21119887</v>
      </c>
      <c r="E4" s="28">
        <v>749973</v>
      </c>
      <c r="F4" s="43">
        <v>16939</v>
      </c>
      <c r="G4" s="48">
        <f>D4/B4</f>
        <v>2.5429396439389609</v>
      </c>
      <c r="H4" s="48">
        <f>B4/C4</f>
        <v>2755.5753417385536</v>
      </c>
      <c r="I4" s="48">
        <f>D4/C4</f>
        <v>7007.2617783676178</v>
      </c>
      <c r="J4" s="48">
        <f>B4/E4</f>
        <v>11.074137442281257</v>
      </c>
      <c r="K4" s="59">
        <f>C4/E4</f>
        <v>4.0188113438750462E-3</v>
      </c>
      <c r="L4" s="59">
        <f>F4/E4</f>
        <v>2.2586146434604978E-2</v>
      </c>
      <c r="M4" s="59">
        <f>C4/F4</f>
        <v>0.17793258161638822</v>
      </c>
    </row>
    <row r="5" spans="1:13" ht="14" x14ac:dyDescent="0.15">
      <c r="A5" s="25" t="s">
        <v>27</v>
      </c>
      <c r="B5" s="30">
        <v>5026674.76</v>
      </c>
      <c r="C5" s="31">
        <v>1566</v>
      </c>
      <c r="D5" s="57">
        <v>6152960</v>
      </c>
      <c r="E5" s="31">
        <v>420003</v>
      </c>
      <c r="F5" s="44">
        <v>10149</v>
      </c>
      <c r="G5" s="48">
        <f t="shared" ref="G5:G8" si="0">D5/B5</f>
        <v>1.2240616896407279</v>
      </c>
      <c r="H5" s="48">
        <f t="shared" ref="H5:H8" si="1">B5/C5</f>
        <v>3209.8817113665386</v>
      </c>
      <c r="I5" s="48">
        <f t="shared" ref="I5:I8" si="2">D5/C5</f>
        <v>3929.0932311621968</v>
      </c>
      <c r="J5" s="48">
        <f t="shared" ref="J5:J8" si="3">B5/E5</f>
        <v>11.968187751039872</v>
      </c>
      <c r="K5" s="59">
        <f t="shared" ref="K5:K8" si="4">C5/E5</f>
        <v>3.7285447961085991E-3</v>
      </c>
      <c r="L5" s="59">
        <f t="shared" ref="L5:L8" si="5">F5/E5</f>
        <v>2.4164113113477759E-2</v>
      </c>
      <c r="M5" s="59">
        <f t="shared" ref="M5:M8" si="6">C5/F5</f>
        <v>0.15430091634643808</v>
      </c>
    </row>
    <row r="6" spans="1:13" ht="14" x14ac:dyDescent="0.15">
      <c r="A6" s="25" t="s">
        <v>17</v>
      </c>
      <c r="B6" s="30">
        <v>3460400.0700000012</v>
      </c>
      <c r="C6" s="31">
        <v>828</v>
      </c>
      <c r="D6" s="57">
        <v>3705065</v>
      </c>
      <c r="E6" s="31">
        <v>330054</v>
      </c>
      <c r="F6" s="44">
        <v>7107</v>
      </c>
      <c r="G6" s="48">
        <f t="shared" si="0"/>
        <v>1.0707042321843436</v>
      </c>
      <c r="H6" s="48">
        <f t="shared" si="1"/>
        <v>4179.2271376811605</v>
      </c>
      <c r="I6" s="48">
        <f t="shared" si="2"/>
        <v>4474.7161835748793</v>
      </c>
      <c r="J6" s="48">
        <f t="shared" si="3"/>
        <v>10.484345198058504</v>
      </c>
      <c r="K6" s="59">
        <f t="shared" si="4"/>
        <v>2.5086803977530949E-3</v>
      </c>
      <c r="L6" s="59">
        <f t="shared" si="5"/>
        <v>2.1532840080714065E-2</v>
      </c>
      <c r="M6" s="59">
        <f t="shared" si="6"/>
        <v>0.11650485436893204</v>
      </c>
    </row>
    <row r="7" spans="1:13" ht="14" x14ac:dyDescent="0.15">
      <c r="A7" s="25" t="s">
        <v>14</v>
      </c>
      <c r="B7" s="30">
        <v>13798500.91</v>
      </c>
      <c r="C7" s="31">
        <v>2635</v>
      </c>
      <c r="D7" s="57">
        <v>11911454</v>
      </c>
      <c r="E7" s="31">
        <v>1499889</v>
      </c>
      <c r="F7" s="44">
        <v>31384</v>
      </c>
      <c r="G7" s="48">
        <f t="shared" si="0"/>
        <v>0.86324261437469441</v>
      </c>
      <c r="H7" s="48">
        <f t="shared" si="1"/>
        <v>5236.6227362428845</v>
      </c>
      <c r="I7" s="48">
        <f t="shared" si="2"/>
        <v>4520.4759013282728</v>
      </c>
      <c r="J7" s="48">
        <f t="shared" si="3"/>
        <v>9.1996813830890147</v>
      </c>
      <c r="K7" s="59">
        <f t="shared" si="4"/>
        <v>1.7567966696202186E-3</v>
      </c>
      <c r="L7" s="59">
        <f t="shared" si="5"/>
        <v>2.0924215058581001E-2</v>
      </c>
      <c r="M7" s="59">
        <f t="shared" si="6"/>
        <v>8.395997960744328E-2</v>
      </c>
    </row>
    <row r="8" spans="1:13" ht="14" x14ac:dyDescent="0.15">
      <c r="A8" s="26" t="s">
        <v>56</v>
      </c>
      <c r="B8" s="33">
        <v>30590879.82</v>
      </c>
      <c r="C8" s="34">
        <v>8043</v>
      </c>
      <c r="D8" s="58">
        <v>42889366</v>
      </c>
      <c r="E8" s="34">
        <v>2999919</v>
      </c>
      <c r="F8" s="45">
        <v>65579</v>
      </c>
      <c r="G8" s="48">
        <f t="shared" si="0"/>
        <v>1.4020311364813829</v>
      </c>
      <c r="H8" s="48">
        <f t="shared" si="1"/>
        <v>3803.4166132040282</v>
      </c>
      <c r="I8" s="48">
        <f t="shared" si="2"/>
        <v>5332.5085167226162</v>
      </c>
      <c r="J8" s="48">
        <f t="shared" si="3"/>
        <v>10.197235265352164</v>
      </c>
      <c r="K8" s="59">
        <f t="shared" si="4"/>
        <v>2.6810723889545019E-3</v>
      </c>
      <c r="L8" s="59">
        <f t="shared" si="5"/>
        <v>2.1860256893602794E-2</v>
      </c>
      <c r="M8" s="59">
        <f t="shared" si="6"/>
        <v>0.12264596898397352</v>
      </c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4251-BC87-0347-85D9-508CDE8F3F7B}">
  <dimension ref="A3:N32"/>
  <sheetViews>
    <sheetView topLeftCell="B2" zoomScale="139" workbookViewId="0">
      <selection activeCell="A4" sqref="A4:A31"/>
    </sheetView>
  </sheetViews>
  <sheetFormatPr baseColWidth="10" defaultRowHeight="13" x14ac:dyDescent="0.15"/>
  <cols>
    <col min="1" max="1" width="12.5" bestFit="1" customWidth="1"/>
    <col min="2" max="2" width="15.83203125" bestFit="1" customWidth="1"/>
    <col min="3" max="3" width="11.83203125" bestFit="1" customWidth="1"/>
    <col min="4" max="4" width="13" bestFit="1" customWidth="1"/>
    <col min="5" max="5" width="9.83203125" bestFit="1" customWidth="1"/>
    <col min="6" max="6" width="20" bestFit="1" customWidth="1"/>
    <col min="7" max="7" width="12" bestFit="1" customWidth="1"/>
    <col min="8" max="8" width="7.6640625" bestFit="1" customWidth="1"/>
    <col min="10" max="10" width="13.1640625" bestFit="1" customWidth="1"/>
    <col min="11" max="11" width="22.5" customWidth="1"/>
    <col min="12" max="12" width="11.83203125" bestFit="1" customWidth="1"/>
    <col min="13" max="13" width="13" bestFit="1" customWidth="1"/>
    <col min="14" max="14" width="11.6640625" bestFit="1" customWidth="1"/>
  </cols>
  <sheetData>
    <row r="3" spans="1:14" ht="28" x14ac:dyDescent="0.15">
      <c r="A3" s="21" t="s">
        <v>55</v>
      </c>
      <c r="B3" s="14" t="s">
        <v>70</v>
      </c>
      <c r="C3" s="22" t="s">
        <v>71</v>
      </c>
      <c r="D3" s="22" t="s">
        <v>73</v>
      </c>
      <c r="E3" s="22" t="s">
        <v>110</v>
      </c>
      <c r="F3" s="22" t="s">
        <v>102</v>
      </c>
      <c r="G3" s="22" t="s">
        <v>72</v>
      </c>
      <c r="H3" s="42" t="s">
        <v>77</v>
      </c>
      <c r="J3" s="21" t="s">
        <v>55</v>
      </c>
      <c r="K3" s="14" t="s">
        <v>70</v>
      </c>
      <c r="L3" s="22" t="s">
        <v>71</v>
      </c>
      <c r="M3" s="22" t="s">
        <v>73</v>
      </c>
      <c r="N3" s="42" t="s">
        <v>111</v>
      </c>
    </row>
    <row r="4" spans="1:14" x14ac:dyDescent="0.15">
      <c r="A4" s="71">
        <v>44228</v>
      </c>
      <c r="B4" s="27">
        <v>120844.72000000002</v>
      </c>
      <c r="C4" s="28">
        <v>30</v>
      </c>
      <c r="D4" s="56">
        <v>182676</v>
      </c>
      <c r="E4" s="76">
        <v>1.5116589289130711</v>
      </c>
      <c r="F4" s="56">
        <v>-61831.279999999984</v>
      </c>
      <c r="G4" s="76">
        <v>4028.157333333334</v>
      </c>
      <c r="H4" s="53">
        <v>6089.2</v>
      </c>
      <c r="J4" s="71">
        <v>44237</v>
      </c>
      <c r="K4" s="27">
        <v>729951.8</v>
      </c>
      <c r="L4" s="28">
        <v>193</v>
      </c>
      <c r="M4" s="56">
        <v>811363</v>
      </c>
      <c r="N4" s="53">
        <v>1.1115295557871081</v>
      </c>
    </row>
    <row r="5" spans="1:14" ht="14" x14ac:dyDescent="0.15">
      <c r="A5" s="72">
        <v>44229</v>
      </c>
      <c r="B5" s="30">
        <v>189064.91000000003</v>
      </c>
      <c r="C5" s="31">
        <v>54</v>
      </c>
      <c r="D5" s="57">
        <v>316369</v>
      </c>
      <c r="E5" s="77">
        <v>1.6733353640292106</v>
      </c>
      <c r="F5" s="57">
        <v>-127304.08999999997</v>
      </c>
      <c r="G5" s="77">
        <v>3501.2020370370378</v>
      </c>
      <c r="H5" s="74">
        <v>5858.6851851851852</v>
      </c>
      <c r="J5" s="62" t="s">
        <v>20</v>
      </c>
      <c r="K5" s="30">
        <v>146732.4</v>
      </c>
      <c r="L5" s="31">
        <v>50</v>
      </c>
      <c r="M5" s="57">
        <v>274656</v>
      </c>
      <c r="N5" s="74">
        <v>1.8718156317214194</v>
      </c>
    </row>
    <row r="6" spans="1:14" ht="14" x14ac:dyDescent="0.15">
      <c r="A6" s="72">
        <v>44230</v>
      </c>
      <c r="B6" s="30">
        <v>922808.01</v>
      </c>
      <c r="C6" s="31">
        <v>273</v>
      </c>
      <c r="D6" s="57">
        <v>1583142</v>
      </c>
      <c r="E6" s="77">
        <v>1.7155702842241258</v>
      </c>
      <c r="F6" s="57">
        <v>-660333.99</v>
      </c>
      <c r="G6" s="77">
        <v>3380.2491208791207</v>
      </c>
      <c r="H6" s="74">
        <v>5799.0549450549452</v>
      </c>
      <c r="J6" s="62" t="s">
        <v>27</v>
      </c>
      <c r="K6" s="30">
        <v>179519</v>
      </c>
      <c r="L6" s="31">
        <v>60</v>
      </c>
      <c r="M6" s="57">
        <v>196680</v>
      </c>
      <c r="N6" s="74">
        <v>1.0955943382037556</v>
      </c>
    </row>
    <row r="7" spans="1:14" ht="14" x14ac:dyDescent="0.15">
      <c r="A7" s="72">
        <v>44231</v>
      </c>
      <c r="B7" s="30">
        <v>1168337.3500000001</v>
      </c>
      <c r="C7" s="31">
        <v>314</v>
      </c>
      <c r="D7" s="57">
        <v>1633899</v>
      </c>
      <c r="E7" s="77">
        <v>1.3984822106389048</v>
      </c>
      <c r="F7" s="57">
        <v>-465561.64999999991</v>
      </c>
      <c r="G7" s="77">
        <v>3720.8195859872612</v>
      </c>
      <c r="H7" s="74">
        <v>5203.5</v>
      </c>
      <c r="J7" s="62" t="s">
        <v>17</v>
      </c>
      <c r="K7" s="30">
        <v>119460.9</v>
      </c>
      <c r="L7" s="31">
        <v>30</v>
      </c>
      <c r="M7" s="57">
        <v>129322</v>
      </c>
      <c r="N7" s="74">
        <v>1.0825466742674801</v>
      </c>
    </row>
    <row r="8" spans="1:14" ht="14" x14ac:dyDescent="0.15">
      <c r="A8" s="72">
        <v>44232</v>
      </c>
      <c r="B8" s="30">
        <v>1883989.74</v>
      </c>
      <c r="C8" s="31">
        <v>475</v>
      </c>
      <c r="D8" s="57">
        <v>2704723</v>
      </c>
      <c r="E8" s="77">
        <v>1.4356357375916495</v>
      </c>
      <c r="F8" s="57">
        <v>-820733.26</v>
      </c>
      <c r="G8" s="77">
        <v>3966.2941894736841</v>
      </c>
      <c r="H8" s="74">
        <v>5694.1536842105261</v>
      </c>
      <c r="J8" s="62" t="s">
        <v>14</v>
      </c>
      <c r="K8" s="30">
        <v>284239.5</v>
      </c>
      <c r="L8" s="31">
        <v>53</v>
      </c>
      <c r="M8" s="57">
        <v>210705</v>
      </c>
      <c r="N8" s="74">
        <v>0.74129387365232491</v>
      </c>
    </row>
    <row r="9" spans="1:14" x14ac:dyDescent="0.15">
      <c r="A9" s="72">
        <v>44233</v>
      </c>
      <c r="B9" s="30">
        <v>305983.26000000007</v>
      </c>
      <c r="C9" s="31">
        <v>75</v>
      </c>
      <c r="D9" s="57">
        <v>416199</v>
      </c>
      <c r="E9" s="77">
        <v>1.360201862023432</v>
      </c>
      <c r="F9" s="57">
        <v>-110215.73999999993</v>
      </c>
      <c r="G9" s="77">
        <v>4079.776800000001</v>
      </c>
      <c r="H9" s="74">
        <v>5549.32</v>
      </c>
      <c r="J9" s="72">
        <v>44253</v>
      </c>
      <c r="K9" s="30">
        <v>122692.88999999998</v>
      </c>
      <c r="L9" s="31">
        <v>38</v>
      </c>
      <c r="M9" s="57">
        <v>238748</v>
      </c>
      <c r="N9" s="74">
        <v>1.9458992285535048</v>
      </c>
    </row>
    <row r="10" spans="1:14" ht="14" x14ac:dyDescent="0.15">
      <c r="A10" s="72">
        <v>44234</v>
      </c>
      <c r="B10" s="30">
        <v>306417.68</v>
      </c>
      <c r="C10" s="31">
        <v>86</v>
      </c>
      <c r="D10" s="57">
        <v>434647</v>
      </c>
      <c r="E10" s="77">
        <v>1.4184788553976391</v>
      </c>
      <c r="F10" s="57">
        <v>-128229.32</v>
      </c>
      <c r="G10" s="77">
        <v>3562.9962790697673</v>
      </c>
      <c r="H10" s="74">
        <v>5054.0348837209303</v>
      </c>
      <c r="J10" s="62" t="s">
        <v>20</v>
      </c>
      <c r="K10" s="30">
        <v>54400.2</v>
      </c>
      <c r="L10" s="31">
        <v>21</v>
      </c>
      <c r="M10" s="57">
        <v>152901</v>
      </c>
      <c r="N10" s="74">
        <v>2.8106698137139201</v>
      </c>
    </row>
    <row r="11" spans="1:14" ht="14" x14ac:dyDescent="0.15">
      <c r="A11" s="72">
        <v>44235</v>
      </c>
      <c r="B11" s="30">
        <v>228203.45</v>
      </c>
      <c r="C11" s="31">
        <v>60</v>
      </c>
      <c r="D11" s="57">
        <v>308655</v>
      </c>
      <c r="E11" s="77">
        <v>1.3525430925781359</v>
      </c>
      <c r="F11" s="57">
        <v>-80451.549999999988</v>
      </c>
      <c r="G11" s="77">
        <v>3803.3908333333334</v>
      </c>
      <c r="H11" s="74">
        <v>5144.25</v>
      </c>
      <c r="J11" s="62" t="s">
        <v>27</v>
      </c>
      <c r="K11" s="30">
        <v>8087.73</v>
      </c>
      <c r="L11" s="31">
        <v>3</v>
      </c>
      <c r="M11" s="57">
        <v>12213</v>
      </c>
      <c r="N11" s="74">
        <v>1.510065246985248</v>
      </c>
    </row>
    <row r="12" spans="1:14" ht="14" x14ac:dyDescent="0.15">
      <c r="A12" s="72">
        <v>44236</v>
      </c>
      <c r="B12" s="30">
        <v>313716.54000000004</v>
      </c>
      <c r="C12" s="31">
        <v>82</v>
      </c>
      <c r="D12" s="57">
        <v>437923</v>
      </c>
      <c r="E12" s="77">
        <v>1.3959193863351926</v>
      </c>
      <c r="F12" s="57">
        <v>-124206.45999999996</v>
      </c>
      <c r="G12" s="77">
        <v>3825.8114634146345</v>
      </c>
      <c r="H12" s="74">
        <v>5340.5243902439024</v>
      </c>
      <c r="J12" s="62" t="s">
        <v>17</v>
      </c>
      <c r="K12" s="30">
        <v>5998.84</v>
      </c>
      <c r="L12" s="31">
        <v>1</v>
      </c>
      <c r="M12" s="57">
        <v>2283</v>
      </c>
      <c r="N12" s="74">
        <v>0.38057357755832794</v>
      </c>
    </row>
    <row r="13" spans="1:14" ht="14" x14ac:dyDescent="0.15">
      <c r="A13" s="72">
        <v>44237</v>
      </c>
      <c r="B13" s="30">
        <v>729951.79999999993</v>
      </c>
      <c r="C13" s="31">
        <v>193</v>
      </c>
      <c r="D13" s="57">
        <v>811363</v>
      </c>
      <c r="E13" s="77">
        <v>1.1115295557871083</v>
      </c>
      <c r="F13" s="57">
        <v>-81411.20000000007</v>
      </c>
      <c r="G13" s="77">
        <v>3782.1336787564765</v>
      </c>
      <c r="H13" s="74">
        <v>4203.9533678756479</v>
      </c>
      <c r="J13" s="62" t="s">
        <v>14</v>
      </c>
      <c r="K13" s="30">
        <v>54206.12</v>
      </c>
      <c r="L13" s="31">
        <v>13</v>
      </c>
      <c r="M13" s="57">
        <v>71351</v>
      </c>
      <c r="N13" s="74">
        <v>1.3162904852809978</v>
      </c>
    </row>
    <row r="14" spans="1:14" ht="14" x14ac:dyDescent="0.15">
      <c r="A14" s="72">
        <v>44238</v>
      </c>
      <c r="B14" s="30">
        <v>919245.87</v>
      </c>
      <c r="C14" s="31">
        <v>260</v>
      </c>
      <c r="D14" s="57">
        <v>1563209</v>
      </c>
      <c r="E14" s="77">
        <v>1.7005341563296879</v>
      </c>
      <c r="F14" s="57">
        <v>-643963.13</v>
      </c>
      <c r="G14" s="77">
        <v>3535.5610384615384</v>
      </c>
      <c r="H14" s="74">
        <v>6012.3423076923073</v>
      </c>
      <c r="J14" s="73" t="s">
        <v>56</v>
      </c>
      <c r="K14" s="33">
        <v>852644.69</v>
      </c>
      <c r="L14" s="34">
        <v>231</v>
      </c>
      <c r="M14" s="58">
        <v>1050111</v>
      </c>
      <c r="N14" s="75">
        <v>1.2315927282676209</v>
      </c>
    </row>
    <row r="15" spans="1:14" x14ac:dyDescent="0.15">
      <c r="A15" s="72">
        <v>44239</v>
      </c>
      <c r="B15" s="30">
        <v>1155208.8</v>
      </c>
      <c r="C15" s="31">
        <v>314</v>
      </c>
      <c r="D15" s="57">
        <v>1657464</v>
      </c>
      <c r="E15" s="77">
        <v>1.4347743888377582</v>
      </c>
      <c r="F15" s="57">
        <v>-502255.19999999995</v>
      </c>
      <c r="G15" s="77">
        <v>3679.0089171974523</v>
      </c>
      <c r="H15" s="74">
        <v>5278.5477707006366</v>
      </c>
    </row>
    <row r="16" spans="1:14" x14ac:dyDescent="0.15">
      <c r="A16" s="72">
        <v>44240</v>
      </c>
      <c r="B16" s="30">
        <v>1825406.8800000004</v>
      </c>
      <c r="C16" s="31">
        <v>524</v>
      </c>
      <c r="D16" s="57">
        <v>2802893</v>
      </c>
      <c r="E16" s="77">
        <v>1.5354894466049123</v>
      </c>
      <c r="F16" s="57">
        <v>-977486.11999999965</v>
      </c>
      <c r="G16" s="77">
        <v>3483.6009160305352</v>
      </c>
      <c r="H16" s="74">
        <v>5349.0324427480919</v>
      </c>
    </row>
    <row r="17" spans="1:11" ht="14" x14ac:dyDescent="0.15">
      <c r="A17" s="72">
        <v>44241</v>
      </c>
      <c r="B17" s="30">
        <v>1881081.54</v>
      </c>
      <c r="C17" s="31">
        <v>466</v>
      </c>
      <c r="D17" s="57">
        <v>2197128</v>
      </c>
      <c r="E17" s="77">
        <v>1.1680131633209265</v>
      </c>
      <c r="F17" s="57">
        <v>-316046.45999999996</v>
      </c>
      <c r="G17" s="77">
        <v>4036.6556652360514</v>
      </c>
      <c r="H17" s="74">
        <v>4714.8669527897</v>
      </c>
      <c r="J17" s="46" t="s">
        <v>112</v>
      </c>
      <c r="K17" s="46" t="s">
        <v>113</v>
      </c>
    </row>
    <row r="18" spans="1:11" x14ac:dyDescent="0.15">
      <c r="A18" s="72">
        <v>44242</v>
      </c>
      <c r="B18" s="30">
        <v>1941196.56</v>
      </c>
      <c r="C18" s="31">
        <v>516</v>
      </c>
      <c r="D18" s="57">
        <v>2795172</v>
      </c>
      <c r="E18" s="77">
        <v>1.4399221890234546</v>
      </c>
      <c r="F18" s="57">
        <v>-853975.44</v>
      </c>
      <c r="G18" s="77">
        <v>3762.0088372093023</v>
      </c>
      <c r="H18" s="74">
        <v>5417</v>
      </c>
      <c r="J18" s="68">
        <v>44237</v>
      </c>
      <c r="K18" s="59">
        <f>K5/K4</f>
        <v>0.20101656027151379</v>
      </c>
    </row>
    <row r="19" spans="1:11" x14ac:dyDescent="0.15">
      <c r="A19" s="72">
        <v>44243</v>
      </c>
      <c r="B19" s="30">
        <v>3035499</v>
      </c>
      <c r="C19" s="31">
        <v>692</v>
      </c>
      <c r="D19" s="57">
        <v>3620594</v>
      </c>
      <c r="E19" s="77">
        <v>1.1927508459070486</v>
      </c>
      <c r="F19" s="57">
        <v>-585095</v>
      </c>
      <c r="G19" s="77">
        <v>4386.5592485549132</v>
      </c>
      <c r="H19" s="74">
        <v>5232.0722543352604</v>
      </c>
      <c r="J19" s="68">
        <v>44253</v>
      </c>
      <c r="K19" s="59">
        <f>K10/K9</f>
        <v>0.4433851056894984</v>
      </c>
    </row>
    <row r="20" spans="1:11" x14ac:dyDescent="0.15">
      <c r="A20" s="72">
        <v>44244</v>
      </c>
      <c r="B20" s="30">
        <v>3271291.5</v>
      </c>
      <c r="C20" s="31">
        <v>794</v>
      </c>
      <c r="D20" s="57">
        <v>4139131</v>
      </c>
      <c r="E20" s="77">
        <v>1.2652895652985985</v>
      </c>
      <c r="F20" s="57">
        <v>-867839.5</v>
      </c>
      <c r="G20" s="77">
        <v>4120.0144836272038</v>
      </c>
      <c r="H20" s="74">
        <v>5213.0113350125948</v>
      </c>
    </row>
    <row r="21" spans="1:11" x14ac:dyDescent="0.15">
      <c r="A21" s="72">
        <v>44245</v>
      </c>
      <c r="B21" s="30">
        <v>2158494.2000000002</v>
      </c>
      <c r="C21" s="31">
        <v>520</v>
      </c>
      <c r="D21" s="57">
        <v>2659560</v>
      </c>
      <c r="E21" s="77">
        <v>1.2321367368047593</v>
      </c>
      <c r="F21" s="57">
        <v>-501065.79999999981</v>
      </c>
      <c r="G21" s="77">
        <v>4150.9503846153848</v>
      </c>
      <c r="H21" s="74">
        <v>5114.5384615384619</v>
      </c>
    </row>
    <row r="22" spans="1:11" x14ac:dyDescent="0.15">
      <c r="A22" s="72">
        <v>44246</v>
      </c>
      <c r="B22" s="30">
        <v>3091011.34</v>
      </c>
      <c r="C22" s="31">
        <v>847</v>
      </c>
      <c r="D22" s="57">
        <v>4973240</v>
      </c>
      <c r="E22" s="77">
        <v>1.6089361872092001</v>
      </c>
      <c r="F22" s="57">
        <v>-1882228.6600000001</v>
      </c>
      <c r="G22" s="77">
        <v>3649.3640377804013</v>
      </c>
      <c r="H22" s="74">
        <v>5871.5938606847694</v>
      </c>
    </row>
    <row r="23" spans="1:11" x14ac:dyDescent="0.15">
      <c r="A23" s="72">
        <v>44247</v>
      </c>
      <c r="B23" s="30">
        <v>3499171.7</v>
      </c>
      <c r="C23" s="31">
        <v>1023</v>
      </c>
      <c r="D23" s="57">
        <v>5261521</v>
      </c>
      <c r="E23" s="77">
        <v>1.5036475632218904</v>
      </c>
      <c r="F23" s="57">
        <v>-1762349.2999999998</v>
      </c>
      <c r="G23" s="77">
        <v>3420.5001955034213</v>
      </c>
      <c r="H23" s="74">
        <v>5143.2267839687192</v>
      </c>
    </row>
    <row r="24" spans="1:11" x14ac:dyDescent="0.15">
      <c r="A24" s="72">
        <v>44248</v>
      </c>
      <c r="B24" s="30">
        <v>301515.38</v>
      </c>
      <c r="C24" s="31">
        <v>86</v>
      </c>
      <c r="D24" s="57">
        <v>436892</v>
      </c>
      <c r="E24" s="77">
        <v>1.4489874446869011</v>
      </c>
      <c r="F24" s="57">
        <v>-135376.62</v>
      </c>
      <c r="G24" s="77">
        <v>3505.9927906976745</v>
      </c>
      <c r="H24" s="74">
        <v>5080.1395348837214</v>
      </c>
    </row>
    <row r="25" spans="1:11" x14ac:dyDescent="0.15">
      <c r="A25" s="72">
        <v>44249</v>
      </c>
      <c r="B25" s="30">
        <v>583694.38</v>
      </c>
      <c r="C25" s="31">
        <v>159</v>
      </c>
      <c r="D25" s="57">
        <v>893154</v>
      </c>
      <c r="E25" s="77">
        <v>1.5301740612955705</v>
      </c>
      <c r="F25" s="57">
        <v>-309459.62</v>
      </c>
      <c r="G25" s="77">
        <v>3671.0338364779873</v>
      </c>
      <c r="H25" s="74">
        <v>5617.3207547169814</v>
      </c>
    </row>
    <row r="26" spans="1:11" x14ac:dyDescent="0.15">
      <c r="A26" s="72">
        <v>44250</v>
      </c>
      <c r="B26" s="30">
        <v>117842.87000000001</v>
      </c>
      <c r="C26" s="31">
        <v>33</v>
      </c>
      <c r="D26" s="57">
        <v>162649</v>
      </c>
      <c r="E26" s="77">
        <v>1.3802192699481945</v>
      </c>
      <c r="F26" s="57">
        <v>-44806.12999999999</v>
      </c>
      <c r="G26" s="77">
        <v>3570.9960606060608</v>
      </c>
      <c r="H26" s="74">
        <v>4928.757575757576</v>
      </c>
    </row>
    <row r="27" spans="1:11" x14ac:dyDescent="0.15">
      <c r="A27" s="72">
        <v>44251</v>
      </c>
      <c r="B27" s="30">
        <v>369238</v>
      </c>
      <c r="C27" s="31">
        <v>89</v>
      </c>
      <c r="D27" s="57">
        <v>440159</v>
      </c>
      <c r="E27" s="77">
        <v>1.1920739468852068</v>
      </c>
      <c r="F27" s="57">
        <v>-70921</v>
      </c>
      <c r="G27" s="77">
        <v>4148.7415730337079</v>
      </c>
      <c r="H27" s="74">
        <v>4945.606741573034</v>
      </c>
    </row>
    <row r="28" spans="1:11" x14ac:dyDescent="0.15">
      <c r="A28" s="72">
        <v>44252</v>
      </c>
      <c r="B28" s="30">
        <v>66706.05</v>
      </c>
      <c r="C28" s="31">
        <v>20</v>
      </c>
      <c r="D28" s="57">
        <v>99303</v>
      </c>
      <c r="E28" s="77">
        <v>1.4886655708140415</v>
      </c>
      <c r="F28" s="57">
        <v>-32596.949999999997</v>
      </c>
      <c r="G28" s="77">
        <v>3335.3025000000002</v>
      </c>
      <c r="H28" s="74">
        <v>4965.1499999999996</v>
      </c>
    </row>
    <row r="29" spans="1:11" x14ac:dyDescent="0.15">
      <c r="A29" s="72">
        <v>44253</v>
      </c>
      <c r="B29" s="30">
        <v>122692.89</v>
      </c>
      <c r="C29" s="31">
        <v>38</v>
      </c>
      <c r="D29" s="57">
        <v>238748</v>
      </c>
      <c r="E29" s="77">
        <v>1.9458992285535046</v>
      </c>
      <c r="F29" s="57">
        <v>-116055.11</v>
      </c>
      <c r="G29" s="77">
        <v>3228.7602631578948</v>
      </c>
      <c r="H29" s="74">
        <v>6282.8421052631575</v>
      </c>
    </row>
    <row r="30" spans="1:11" x14ac:dyDescent="0.15">
      <c r="A30" s="72">
        <v>44254</v>
      </c>
      <c r="B30" s="30">
        <v>28902.729999999996</v>
      </c>
      <c r="C30" s="31">
        <v>7</v>
      </c>
      <c r="D30" s="57">
        <v>42789</v>
      </c>
      <c r="E30" s="77">
        <v>1.4804483867094911</v>
      </c>
      <c r="F30" s="57">
        <v>-13886.270000000004</v>
      </c>
      <c r="G30" s="77">
        <v>4128.9614285714279</v>
      </c>
      <c r="H30" s="74">
        <v>6112.7142857142853</v>
      </c>
    </row>
    <row r="31" spans="1:11" x14ac:dyDescent="0.15">
      <c r="A31" s="72">
        <v>44255</v>
      </c>
      <c r="B31" s="30">
        <v>53362.67</v>
      </c>
      <c r="C31" s="31">
        <v>13</v>
      </c>
      <c r="D31" s="57">
        <v>76164</v>
      </c>
      <c r="E31" s="77">
        <v>1.4272899013486395</v>
      </c>
      <c r="F31" s="57">
        <v>-22801.33</v>
      </c>
      <c r="G31" s="77">
        <v>4104.8207692307687</v>
      </c>
      <c r="H31" s="74">
        <v>5858.7692307692305</v>
      </c>
    </row>
    <row r="32" spans="1:11" ht="14" x14ac:dyDescent="0.15">
      <c r="A32" s="73" t="s">
        <v>56</v>
      </c>
      <c r="B32" s="33">
        <v>30590879.82</v>
      </c>
      <c r="C32" s="34">
        <v>8043</v>
      </c>
      <c r="D32" s="58">
        <v>42889366</v>
      </c>
      <c r="E32" s="78">
        <v>1.4020311364813829</v>
      </c>
      <c r="F32" s="58">
        <v>-12298486.180000003</v>
      </c>
      <c r="G32" s="78">
        <v>3803.4166132040277</v>
      </c>
      <c r="H32" s="75">
        <v>5332.5085167226162</v>
      </c>
    </row>
  </sheetData>
  <sortState xmlns:xlrd2="http://schemas.microsoft.com/office/spreadsheetml/2017/richdata2" ref="A3:H32">
    <sortCondition ref="A4"/>
  </sortState>
  <pageMargins left="0.7" right="0.7" top="0.75" bottom="0.75" header="0.3" footer="0.3"/>
  <pageSetup paperSize="9" orientation="portrait" horizontalDpi="0" verticalDpi="0"/>
  <ignoredErrors>
    <ignoredError sqref="K18" calculatedColumn="1"/>
  </ignoredErrors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C00FC-BB26-0045-94E3-B4F8E27CBBFE}">
  <dimension ref="A3:N33"/>
  <sheetViews>
    <sheetView zoomScale="136" workbookViewId="0">
      <selection activeCell="C8" sqref="C8"/>
    </sheetView>
  </sheetViews>
  <sheetFormatPr baseColWidth="10" defaultRowHeight="13" x14ac:dyDescent="0.15"/>
  <cols>
    <col min="1" max="1" width="14.83203125" bestFit="1" customWidth="1"/>
    <col min="2" max="2" width="10.6640625" bestFit="1" customWidth="1"/>
    <col min="3" max="3" width="9.6640625" bestFit="1" customWidth="1"/>
    <col min="4" max="4" width="6.6640625" bestFit="1" customWidth="1"/>
    <col min="5" max="5" width="7.1640625" bestFit="1" customWidth="1"/>
    <col min="6" max="6" width="6.6640625" bestFit="1" customWidth="1"/>
    <col min="8" max="9" width="11.6640625" bestFit="1" customWidth="1"/>
    <col min="11" max="13" width="11.6640625" bestFit="1" customWidth="1"/>
    <col min="14" max="14" width="11.5" customWidth="1"/>
  </cols>
  <sheetData>
    <row r="3" spans="1:14" ht="42" x14ac:dyDescent="0.15">
      <c r="A3" s="21" t="s">
        <v>55</v>
      </c>
      <c r="B3" s="14" t="s">
        <v>70</v>
      </c>
      <c r="C3" s="22" t="s">
        <v>73</v>
      </c>
      <c r="D3" s="22" t="s">
        <v>71</v>
      </c>
      <c r="E3" s="22" t="s">
        <v>78</v>
      </c>
      <c r="F3" s="42" t="s">
        <v>82</v>
      </c>
      <c r="G3" s="46" t="s">
        <v>76</v>
      </c>
      <c r="H3" s="46" t="s">
        <v>75</v>
      </c>
      <c r="I3" s="52" t="s">
        <v>72</v>
      </c>
      <c r="J3" s="52" t="s">
        <v>77</v>
      </c>
      <c r="K3" s="52" t="s">
        <v>79</v>
      </c>
      <c r="L3" s="52" t="s">
        <v>80</v>
      </c>
      <c r="M3" s="52" t="s">
        <v>81</v>
      </c>
      <c r="N3" s="52" t="s">
        <v>83</v>
      </c>
    </row>
    <row r="4" spans="1:14" ht="14" x14ac:dyDescent="0.15">
      <c r="A4" s="24" t="s">
        <v>67</v>
      </c>
      <c r="B4" s="27">
        <v>4693870.97</v>
      </c>
      <c r="C4" s="56">
        <v>3463306</v>
      </c>
      <c r="D4" s="28">
        <v>688</v>
      </c>
      <c r="E4" s="28">
        <v>329973</v>
      </c>
      <c r="F4" s="43">
        <v>8428</v>
      </c>
      <c r="G4" s="55">
        <f>(B4) - (C4)</f>
        <v>1230564.9699999997</v>
      </c>
      <c r="H4" s="48">
        <f>(C4)/(B4)</f>
        <v>0.73783579099959795</v>
      </c>
      <c r="I4" s="48">
        <f>IF(D4=0, "No orders", B4/D4)</f>
        <v>6822.4868749999996</v>
      </c>
      <c r="J4" s="48">
        <f>IF(D4=0,"No orders",C4/D4)</f>
        <v>5033.875</v>
      </c>
      <c r="K4" s="48">
        <f>B4/E4</f>
        <v>14.225015289129717</v>
      </c>
      <c r="L4" s="59">
        <f>D4/E4</f>
        <v>2.0850190773184472E-3</v>
      </c>
      <c r="M4" s="59">
        <f>F4/E4</f>
        <v>2.554148369715098E-2</v>
      </c>
      <c r="N4" s="59">
        <f>D4/F4</f>
        <v>8.1632653061224483E-2</v>
      </c>
    </row>
    <row r="5" spans="1:14" x14ac:dyDescent="0.15">
      <c r="A5" s="54">
        <v>44228</v>
      </c>
      <c r="B5" s="30">
        <v>16300.2</v>
      </c>
      <c r="C5" s="57">
        <v>14962</v>
      </c>
      <c r="D5" s="31">
        <v>3</v>
      </c>
      <c r="E5" s="31">
        <v>1640</v>
      </c>
      <c r="F5" s="44">
        <v>48</v>
      </c>
      <c r="G5" s="55">
        <f t="shared" ref="G5:G33" si="0">(B5) - (C5)</f>
        <v>1338.2000000000007</v>
      </c>
      <c r="H5" s="48">
        <f t="shared" ref="H5:H33" si="1">(C5)/(B5)</f>
        <v>0.91790284781781817</v>
      </c>
      <c r="I5" s="48">
        <f t="shared" ref="I5:I31" si="2">IF(D5=0, "No orders", B5/D5)</f>
        <v>5433.4000000000005</v>
      </c>
      <c r="J5" s="48">
        <f t="shared" ref="J5:J33" si="3">IF(D5=0,"No orders",C5/D5)</f>
        <v>4987.333333333333</v>
      </c>
      <c r="K5" s="48">
        <f t="shared" ref="K5:K33" si="4">B5/E5</f>
        <v>9.9391463414634149</v>
      </c>
      <c r="L5" s="59">
        <f t="shared" ref="L5:L33" si="5">D5/E5</f>
        <v>1.8292682926829269E-3</v>
      </c>
      <c r="M5" s="59">
        <f t="shared" ref="M5:M33" si="6">F5/E5</f>
        <v>2.9268292682926831E-2</v>
      </c>
      <c r="N5" s="59">
        <f t="shared" ref="N5:N33" si="7">D5/F5</f>
        <v>6.25E-2</v>
      </c>
    </row>
    <row r="6" spans="1:14" ht="14" x14ac:dyDescent="0.15">
      <c r="A6" s="54">
        <v>44229</v>
      </c>
      <c r="B6" s="30">
        <v>2198.0500000000002</v>
      </c>
      <c r="C6" s="57">
        <v>0</v>
      </c>
      <c r="D6" s="31">
        <v>0</v>
      </c>
      <c r="E6" s="31">
        <v>3294</v>
      </c>
      <c r="F6" s="44">
        <v>10</v>
      </c>
      <c r="G6" s="55">
        <f t="shared" si="0"/>
        <v>2198.0500000000002</v>
      </c>
      <c r="H6" s="48">
        <f t="shared" si="1"/>
        <v>0</v>
      </c>
      <c r="I6" s="48" t="str">
        <f t="shared" si="2"/>
        <v>No orders</v>
      </c>
      <c r="J6" s="48" t="str">
        <f t="shared" si="3"/>
        <v>No orders</v>
      </c>
      <c r="K6" s="48">
        <f t="shared" si="4"/>
        <v>0.66728901032179722</v>
      </c>
      <c r="L6" s="59">
        <f t="shared" si="5"/>
        <v>0</v>
      </c>
      <c r="M6" s="59">
        <f t="shared" si="6"/>
        <v>3.0358227079538553E-3</v>
      </c>
      <c r="N6" s="59">
        <f t="shared" si="7"/>
        <v>0</v>
      </c>
    </row>
    <row r="7" spans="1:14" x14ac:dyDescent="0.15">
      <c r="A7" s="54">
        <v>44230</v>
      </c>
      <c r="B7" s="30">
        <v>78958.3</v>
      </c>
      <c r="C7" s="57">
        <v>59772</v>
      </c>
      <c r="D7" s="31">
        <v>12</v>
      </c>
      <c r="E7" s="31">
        <v>9898</v>
      </c>
      <c r="F7" s="44">
        <v>226</v>
      </c>
      <c r="G7" s="55">
        <f t="shared" si="0"/>
        <v>19186.300000000003</v>
      </c>
      <c r="H7" s="48">
        <f t="shared" si="1"/>
        <v>0.75700717973917875</v>
      </c>
      <c r="I7" s="48">
        <f t="shared" si="2"/>
        <v>6579.8583333333336</v>
      </c>
      <c r="J7" s="48">
        <f t="shared" si="3"/>
        <v>4981</v>
      </c>
      <c r="K7" s="48">
        <f t="shared" si="4"/>
        <v>7.9771974136189128</v>
      </c>
      <c r="L7" s="59">
        <f t="shared" si="5"/>
        <v>1.2123661345726409E-3</v>
      </c>
      <c r="M7" s="59">
        <f t="shared" si="6"/>
        <v>2.2832895534451406E-2</v>
      </c>
      <c r="N7" s="59">
        <f t="shared" si="7"/>
        <v>5.3097345132743362E-2</v>
      </c>
    </row>
    <row r="8" spans="1:14" x14ac:dyDescent="0.15">
      <c r="A8" s="54">
        <v>44231</v>
      </c>
      <c r="B8" s="30">
        <v>115389</v>
      </c>
      <c r="C8" s="57">
        <v>82909</v>
      </c>
      <c r="D8" s="31">
        <v>17</v>
      </c>
      <c r="E8" s="31">
        <v>13206</v>
      </c>
      <c r="F8" s="44">
        <v>143</v>
      </c>
      <c r="G8" s="55">
        <f t="shared" si="0"/>
        <v>32480</v>
      </c>
      <c r="H8" s="48">
        <f t="shared" si="1"/>
        <v>0.71851736300687241</v>
      </c>
      <c r="I8" s="48">
        <f t="shared" si="2"/>
        <v>6787.588235294118</v>
      </c>
      <c r="J8" s="48">
        <f t="shared" si="3"/>
        <v>4877</v>
      </c>
      <c r="K8" s="48">
        <f t="shared" si="4"/>
        <v>8.737619263970922</v>
      </c>
      <c r="L8" s="59">
        <f t="shared" si="5"/>
        <v>1.2872936543995154E-3</v>
      </c>
      <c r="M8" s="59">
        <f t="shared" si="6"/>
        <v>1.0828411328184158E-2</v>
      </c>
      <c r="N8" s="59">
        <f t="shared" si="7"/>
        <v>0.11888111888111888</v>
      </c>
    </row>
    <row r="9" spans="1:14" x14ac:dyDescent="0.15">
      <c r="A9" s="54">
        <v>44232</v>
      </c>
      <c r="B9" s="30">
        <v>261047</v>
      </c>
      <c r="C9" s="57">
        <v>209202</v>
      </c>
      <c r="D9" s="31">
        <v>42</v>
      </c>
      <c r="E9" s="31">
        <v>16498</v>
      </c>
      <c r="F9" s="44">
        <v>330</v>
      </c>
      <c r="G9" s="55">
        <f t="shared" si="0"/>
        <v>51845</v>
      </c>
      <c r="H9" s="48">
        <f t="shared" si="1"/>
        <v>0.80139591721031078</v>
      </c>
      <c r="I9" s="48">
        <f t="shared" si="2"/>
        <v>6215.4047619047615</v>
      </c>
      <c r="J9" s="48">
        <f t="shared" si="3"/>
        <v>4981</v>
      </c>
      <c r="K9" s="48">
        <f t="shared" si="4"/>
        <v>15.822948236149836</v>
      </c>
      <c r="L9" s="59">
        <f t="shared" si="5"/>
        <v>2.545763122802764E-3</v>
      </c>
      <c r="M9" s="59">
        <f t="shared" si="6"/>
        <v>2.000242453630743E-2</v>
      </c>
      <c r="N9" s="59">
        <f t="shared" si="7"/>
        <v>0.12727272727272726</v>
      </c>
    </row>
    <row r="10" spans="1:14" x14ac:dyDescent="0.15">
      <c r="A10" s="54">
        <v>44233</v>
      </c>
      <c r="B10" s="30">
        <v>62272.6</v>
      </c>
      <c r="C10" s="57">
        <v>44829</v>
      </c>
      <c r="D10" s="31">
        <v>9</v>
      </c>
      <c r="E10" s="31">
        <v>3302</v>
      </c>
      <c r="F10" s="44">
        <v>108</v>
      </c>
      <c r="G10" s="55">
        <f t="shared" si="0"/>
        <v>17443.599999999999</v>
      </c>
      <c r="H10" s="48">
        <f t="shared" si="1"/>
        <v>0.71988322311899622</v>
      </c>
      <c r="I10" s="48">
        <f t="shared" si="2"/>
        <v>6919.1777777777779</v>
      </c>
      <c r="J10" s="48">
        <f t="shared" si="3"/>
        <v>4981</v>
      </c>
      <c r="K10" s="48">
        <f t="shared" si="4"/>
        <v>18.859055118110234</v>
      </c>
      <c r="L10" s="59">
        <f t="shared" si="5"/>
        <v>2.7256208358570565E-3</v>
      </c>
      <c r="M10" s="59">
        <f t="shared" si="6"/>
        <v>3.2707450030284677E-2</v>
      </c>
      <c r="N10" s="59">
        <f t="shared" si="7"/>
        <v>8.3333333333333329E-2</v>
      </c>
    </row>
    <row r="11" spans="1:14" x14ac:dyDescent="0.15">
      <c r="A11" s="54">
        <v>44234</v>
      </c>
      <c r="B11" s="30">
        <v>38485.599999999999</v>
      </c>
      <c r="C11" s="57">
        <v>23735</v>
      </c>
      <c r="D11" s="31">
        <v>5</v>
      </c>
      <c r="E11" s="31">
        <v>3295</v>
      </c>
      <c r="F11" s="44">
        <v>66</v>
      </c>
      <c r="G11" s="55">
        <f t="shared" si="0"/>
        <v>14750.599999999999</v>
      </c>
      <c r="H11" s="48">
        <f t="shared" si="1"/>
        <v>0.61672417735464691</v>
      </c>
      <c r="I11" s="48">
        <f t="shared" si="2"/>
        <v>7697.12</v>
      </c>
      <c r="J11" s="48">
        <f t="shared" si="3"/>
        <v>4747</v>
      </c>
      <c r="K11" s="48">
        <f t="shared" si="4"/>
        <v>11.68</v>
      </c>
      <c r="L11" s="59">
        <f t="shared" si="5"/>
        <v>1.5174506828528073E-3</v>
      </c>
      <c r="M11" s="59">
        <f t="shared" si="6"/>
        <v>2.0030349013657057E-2</v>
      </c>
      <c r="N11" s="59">
        <f t="shared" si="7"/>
        <v>7.575757575757576E-2</v>
      </c>
    </row>
    <row r="12" spans="1:14" x14ac:dyDescent="0.15">
      <c r="A12" s="54">
        <v>44235</v>
      </c>
      <c r="B12" s="30">
        <v>33752.800000000003</v>
      </c>
      <c r="C12" s="57">
        <v>28670</v>
      </c>
      <c r="D12" s="31">
        <v>5</v>
      </c>
      <c r="E12" s="31">
        <v>3290</v>
      </c>
      <c r="F12" s="44">
        <v>66</v>
      </c>
      <c r="G12" s="55">
        <f t="shared" si="0"/>
        <v>5082.8000000000029</v>
      </c>
      <c r="H12" s="48">
        <f t="shared" si="1"/>
        <v>0.84941101182716683</v>
      </c>
      <c r="I12" s="48">
        <f t="shared" si="2"/>
        <v>6750.56</v>
      </c>
      <c r="J12" s="48">
        <f t="shared" si="3"/>
        <v>5734</v>
      </c>
      <c r="K12" s="48">
        <f t="shared" si="4"/>
        <v>10.259209726443769</v>
      </c>
      <c r="L12" s="59">
        <f t="shared" si="5"/>
        <v>1.5197568389057751E-3</v>
      </c>
      <c r="M12" s="59">
        <f t="shared" si="6"/>
        <v>2.0060790273556232E-2</v>
      </c>
      <c r="N12" s="59">
        <f t="shared" si="7"/>
        <v>7.575757575757576E-2</v>
      </c>
    </row>
    <row r="13" spans="1:14" x14ac:dyDescent="0.15">
      <c r="A13" s="54">
        <v>44236</v>
      </c>
      <c r="B13" s="30">
        <v>62119.4</v>
      </c>
      <c r="C13" s="57">
        <v>54791</v>
      </c>
      <c r="D13" s="31">
        <v>11</v>
      </c>
      <c r="E13" s="31">
        <v>3303</v>
      </c>
      <c r="F13" s="44">
        <v>96</v>
      </c>
      <c r="G13" s="55">
        <f t="shared" si="0"/>
        <v>7328.4000000000015</v>
      </c>
      <c r="H13" s="48">
        <f t="shared" si="1"/>
        <v>0.88202719279323361</v>
      </c>
      <c r="I13" s="48">
        <f t="shared" si="2"/>
        <v>5647.2181818181816</v>
      </c>
      <c r="J13" s="48">
        <f t="shared" si="3"/>
        <v>4981</v>
      </c>
      <c r="K13" s="48">
        <f t="shared" si="4"/>
        <v>18.806963366636392</v>
      </c>
      <c r="L13" s="59">
        <f t="shared" si="5"/>
        <v>3.3303057826218588E-3</v>
      </c>
      <c r="M13" s="59">
        <f t="shared" si="6"/>
        <v>2.9064486830154404E-2</v>
      </c>
      <c r="N13" s="59">
        <f t="shared" si="7"/>
        <v>0.11458333333333333</v>
      </c>
    </row>
    <row r="14" spans="1:14" x14ac:dyDescent="0.15">
      <c r="A14" s="54">
        <v>44237</v>
      </c>
      <c r="B14" s="30">
        <v>43865.9</v>
      </c>
      <c r="C14" s="57">
        <v>34867</v>
      </c>
      <c r="D14" s="31">
        <v>7</v>
      </c>
      <c r="E14" s="31">
        <v>6596</v>
      </c>
      <c r="F14" s="44">
        <v>132</v>
      </c>
      <c r="G14" s="55">
        <f t="shared" si="0"/>
        <v>8998.9000000000015</v>
      </c>
      <c r="H14" s="48">
        <f t="shared" si="1"/>
        <v>0.79485431736268941</v>
      </c>
      <c r="I14" s="48">
        <f t="shared" si="2"/>
        <v>6266.5571428571429</v>
      </c>
      <c r="J14" s="48">
        <f t="shared" si="3"/>
        <v>4981</v>
      </c>
      <c r="K14" s="48">
        <f t="shared" si="4"/>
        <v>6.6503790175864159</v>
      </c>
      <c r="L14" s="59">
        <f t="shared" si="5"/>
        <v>1.0612492419648271E-3</v>
      </c>
      <c r="M14" s="59">
        <f t="shared" si="6"/>
        <v>2.0012128562765311E-2</v>
      </c>
      <c r="N14" s="59">
        <f t="shared" si="7"/>
        <v>5.3030303030303032E-2</v>
      </c>
    </row>
    <row r="15" spans="1:14" x14ac:dyDescent="0.15">
      <c r="A15" s="54">
        <v>44238</v>
      </c>
      <c r="B15" s="30">
        <v>188516</v>
      </c>
      <c r="C15" s="57">
        <v>131068</v>
      </c>
      <c r="D15" s="31">
        <v>28</v>
      </c>
      <c r="E15" s="31">
        <v>9895</v>
      </c>
      <c r="F15" s="44">
        <v>304</v>
      </c>
      <c r="G15" s="55">
        <f t="shared" si="0"/>
        <v>57448</v>
      </c>
      <c r="H15" s="48">
        <f t="shared" si="1"/>
        <v>0.69526194063103397</v>
      </c>
      <c r="I15" s="48">
        <f t="shared" si="2"/>
        <v>6732.7142857142853</v>
      </c>
      <c r="J15" s="48">
        <f t="shared" si="3"/>
        <v>4681</v>
      </c>
      <c r="K15" s="48">
        <f t="shared" si="4"/>
        <v>19.051642243557353</v>
      </c>
      <c r="L15" s="59">
        <f t="shared" si="5"/>
        <v>2.8297119757453261E-3</v>
      </c>
      <c r="M15" s="59">
        <f t="shared" si="6"/>
        <v>3.0722587165234967E-2</v>
      </c>
      <c r="N15" s="59">
        <f t="shared" si="7"/>
        <v>9.2105263157894732E-2</v>
      </c>
    </row>
    <row r="16" spans="1:14" x14ac:dyDescent="0.15">
      <c r="A16" s="54">
        <v>44239</v>
      </c>
      <c r="B16" s="30">
        <v>191722</v>
      </c>
      <c r="C16" s="57">
        <v>176512</v>
      </c>
      <c r="D16" s="31">
        <v>32</v>
      </c>
      <c r="E16" s="31">
        <v>13196</v>
      </c>
      <c r="F16" s="44">
        <v>325</v>
      </c>
      <c r="G16" s="55">
        <f t="shared" si="0"/>
        <v>15210</v>
      </c>
      <c r="H16" s="48">
        <f t="shared" si="1"/>
        <v>0.92066638153159264</v>
      </c>
      <c r="I16" s="48">
        <f t="shared" si="2"/>
        <v>5991.3125</v>
      </c>
      <c r="J16" s="48">
        <f t="shared" si="3"/>
        <v>5516</v>
      </c>
      <c r="K16" s="48">
        <f t="shared" si="4"/>
        <v>14.528796605031827</v>
      </c>
      <c r="L16" s="59">
        <f t="shared" si="5"/>
        <v>2.4249772658381328E-3</v>
      </c>
      <c r="M16" s="59">
        <f t="shared" si="6"/>
        <v>2.4628675356168535E-2</v>
      </c>
      <c r="N16" s="59">
        <f t="shared" si="7"/>
        <v>9.8461538461538461E-2</v>
      </c>
    </row>
    <row r="17" spans="1:14" x14ac:dyDescent="0.15">
      <c r="A17" s="54">
        <v>44240</v>
      </c>
      <c r="B17" s="30">
        <v>325444</v>
      </c>
      <c r="C17" s="57">
        <v>262184</v>
      </c>
      <c r="D17" s="31">
        <v>52</v>
      </c>
      <c r="E17" s="31">
        <v>16506</v>
      </c>
      <c r="F17" s="44">
        <v>655</v>
      </c>
      <c r="G17" s="55">
        <f t="shared" si="0"/>
        <v>63260</v>
      </c>
      <c r="H17" s="48">
        <f t="shared" si="1"/>
        <v>0.80561939995821097</v>
      </c>
      <c r="I17" s="48">
        <f t="shared" si="2"/>
        <v>6258.5384615384619</v>
      </c>
      <c r="J17" s="48">
        <f t="shared" si="3"/>
        <v>5042</v>
      </c>
      <c r="K17" s="48">
        <f t="shared" si="4"/>
        <v>19.716709075487703</v>
      </c>
      <c r="L17" s="59">
        <f t="shared" si="5"/>
        <v>3.1503695625833029E-3</v>
      </c>
      <c r="M17" s="59">
        <f t="shared" si="6"/>
        <v>3.968253968253968E-2</v>
      </c>
      <c r="N17" s="59">
        <f t="shared" si="7"/>
        <v>7.9389312977099238E-2</v>
      </c>
    </row>
    <row r="18" spans="1:14" x14ac:dyDescent="0.15">
      <c r="A18" s="54">
        <v>44241</v>
      </c>
      <c r="B18" s="30">
        <v>197948</v>
      </c>
      <c r="C18" s="57">
        <v>149430</v>
      </c>
      <c r="D18" s="31">
        <v>30</v>
      </c>
      <c r="E18" s="31">
        <v>19797</v>
      </c>
      <c r="F18" s="44">
        <v>396</v>
      </c>
      <c r="G18" s="55">
        <f t="shared" si="0"/>
        <v>48518</v>
      </c>
      <c r="H18" s="48">
        <f t="shared" si="1"/>
        <v>0.75489522500858808</v>
      </c>
      <c r="I18" s="48">
        <f t="shared" si="2"/>
        <v>6598.2666666666664</v>
      </c>
      <c r="J18" s="48">
        <f t="shared" si="3"/>
        <v>4981</v>
      </c>
      <c r="K18" s="48">
        <f t="shared" si="4"/>
        <v>9.9988887205132091</v>
      </c>
      <c r="L18" s="59">
        <f t="shared" si="5"/>
        <v>1.5153811183512653E-3</v>
      </c>
      <c r="M18" s="59">
        <f t="shared" si="6"/>
        <v>2.0003030762236702E-2</v>
      </c>
      <c r="N18" s="59">
        <f t="shared" si="7"/>
        <v>7.575757575757576E-2</v>
      </c>
    </row>
    <row r="19" spans="1:14" x14ac:dyDescent="0.15">
      <c r="A19" s="54">
        <v>44242</v>
      </c>
      <c r="B19" s="30">
        <v>593576</v>
      </c>
      <c r="C19" s="57">
        <v>403461</v>
      </c>
      <c r="D19" s="31">
        <v>81</v>
      </c>
      <c r="E19" s="31">
        <v>23103</v>
      </c>
      <c r="F19" s="44">
        <v>694</v>
      </c>
      <c r="G19" s="55">
        <f t="shared" si="0"/>
        <v>190115</v>
      </c>
      <c r="H19" s="48">
        <f t="shared" si="1"/>
        <v>0.67971245468145614</v>
      </c>
      <c r="I19" s="48">
        <f t="shared" si="2"/>
        <v>7328.0987654320988</v>
      </c>
      <c r="J19" s="48">
        <f t="shared" si="3"/>
        <v>4981</v>
      </c>
      <c r="K19" s="48">
        <f t="shared" si="4"/>
        <v>25.692594035406657</v>
      </c>
      <c r="L19" s="59">
        <f t="shared" si="5"/>
        <v>3.506038176860148E-3</v>
      </c>
      <c r="M19" s="59">
        <f t="shared" si="6"/>
        <v>3.0039388823962256E-2</v>
      </c>
      <c r="N19" s="59">
        <f t="shared" si="7"/>
        <v>0.11671469740634005</v>
      </c>
    </row>
    <row r="20" spans="1:14" x14ac:dyDescent="0.15">
      <c r="A20" s="54">
        <v>44243</v>
      </c>
      <c r="B20" s="30">
        <v>595176</v>
      </c>
      <c r="C20" s="57">
        <v>392160</v>
      </c>
      <c r="D20" s="31">
        <v>80</v>
      </c>
      <c r="E20" s="31">
        <v>26400</v>
      </c>
      <c r="F20" s="44">
        <v>923</v>
      </c>
      <c r="G20" s="55">
        <f t="shared" si="0"/>
        <v>203016</v>
      </c>
      <c r="H20" s="48">
        <f t="shared" si="1"/>
        <v>0.65889753619097546</v>
      </c>
      <c r="I20" s="48">
        <f t="shared" si="2"/>
        <v>7439.7</v>
      </c>
      <c r="J20" s="48">
        <f t="shared" si="3"/>
        <v>4902</v>
      </c>
      <c r="K20" s="48">
        <f t="shared" si="4"/>
        <v>22.544545454545453</v>
      </c>
      <c r="L20" s="59">
        <f t="shared" si="5"/>
        <v>3.0303030303030303E-3</v>
      </c>
      <c r="M20" s="59">
        <f t="shared" si="6"/>
        <v>3.4962121212121215E-2</v>
      </c>
      <c r="N20" s="59">
        <f t="shared" si="7"/>
        <v>8.6673889490790898E-2</v>
      </c>
    </row>
    <row r="21" spans="1:14" x14ac:dyDescent="0.15">
      <c r="A21" s="54">
        <v>44244</v>
      </c>
      <c r="B21" s="30">
        <v>403691</v>
      </c>
      <c r="C21" s="57">
        <v>303841</v>
      </c>
      <c r="D21" s="31">
        <v>61</v>
      </c>
      <c r="E21" s="31">
        <v>29704</v>
      </c>
      <c r="F21" s="44">
        <v>594</v>
      </c>
      <c r="G21" s="55">
        <f t="shared" si="0"/>
        <v>99850</v>
      </c>
      <c r="H21" s="48">
        <f t="shared" si="1"/>
        <v>0.7526573542635332</v>
      </c>
      <c r="I21" s="48">
        <f t="shared" si="2"/>
        <v>6617.8852459016398</v>
      </c>
      <c r="J21" s="48">
        <f t="shared" si="3"/>
        <v>4981</v>
      </c>
      <c r="K21" s="48">
        <f t="shared" si="4"/>
        <v>13.590459197414489</v>
      </c>
      <c r="L21" s="59">
        <f t="shared" si="5"/>
        <v>2.0535954753568542E-3</v>
      </c>
      <c r="M21" s="59">
        <f t="shared" si="6"/>
        <v>1.9997306760032318E-2</v>
      </c>
      <c r="N21" s="59">
        <f t="shared" si="7"/>
        <v>0.1026936026936027</v>
      </c>
    </row>
    <row r="22" spans="1:14" x14ac:dyDescent="0.15">
      <c r="A22" s="54">
        <v>44245</v>
      </c>
      <c r="B22" s="30">
        <v>373294</v>
      </c>
      <c r="C22" s="57">
        <v>237711</v>
      </c>
      <c r="D22" s="31">
        <v>51</v>
      </c>
      <c r="E22" s="31">
        <v>33003</v>
      </c>
      <c r="F22" s="44">
        <v>1313</v>
      </c>
      <c r="G22" s="55">
        <f t="shared" si="0"/>
        <v>135583</v>
      </c>
      <c r="H22" s="48">
        <f t="shared" si="1"/>
        <v>0.63679298354648084</v>
      </c>
      <c r="I22" s="48">
        <f t="shared" si="2"/>
        <v>7319.4901960784309</v>
      </c>
      <c r="J22" s="48">
        <f t="shared" si="3"/>
        <v>4661</v>
      </c>
      <c r="K22" s="48">
        <f t="shared" si="4"/>
        <v>11.310911129291277</v>
      </c>
      <c r="L22" s="59">
        <f t="shared" si="5"/>
        <v>1.5453140623579674E-3</v>
      </c>
      <c r="M22" s="59">
        <f t="shared" si="6"/>
        <v>3.9784262036784535E-2</v>
      </c>
      <c r="N22" s="59">
        <f t="shared" si="7"/>
        <v>3.8842345773038842E-2</v>
      </c>
    </row>
    <row r="23" spans="1:14" x14ac:dyDescent="0.15">
      <c r="A23" s="54">
        <v>44246</v>
      </c>
      <c r="B23" s="30">
        <v>415376</v>
      </c>
      <c r="C23" s="57">
        <v>288898</v>
      </c>
      <c r="D23" s="31">
        <v>58</v>
      </c>
      <c r="E23" s="31">
        <v>36304</v>
      </c>
      <c r="F23" s="44">
        <v>726</v>
      </c>
      <c r="G23" s="55">
        <f t="shared" si="0"/>
        <v>126478</v>
      </c>
      <c r="H23" s="48">
        <f t="shared" si="1"/>
        <v>0.69550961056970073</v>
      </c>
      <c r="I23" s="48">
        <f t="shared" si="2"/>
        <v>7161.6551724137935</v>
      </c>
      <c r="J23" s="48">
        <f t="shared" si="3"/>
        <v>4981</v>
      </c>
      <c r="K23" s="48">
        <f t="shared" si="4"/>
        <v>11.44160423093874</v>
      </c>
      <c r="L23" s="59">
        <f t="shared" si="5"/>
        <v>1.5976200969590128E-3</v>
      </c>
      <c r="M23" s="59">
        <f t="shared" si="6"/>
        <v>1.9997796386073161E-2</v>
      </c>
      <c r="N23" s="59">
        <f t="shared" si="7"/>
        <v>7.9889807162534437E-2</v>
      </c>
    </row>
    <row r="24" spans="1:14" x14ac:dyDescent="0.15">
      <c r="A24" s="54">
        <v>44247</v>
      </c>
      <c r="B24" s="30">
        <v>455831</v>
      </c>
      <c r="C24" s="57">
        <v>387124</v>
      </c>
      <c r="D24" s="31">
        <v>68</v>
      </c>
      <c r="E24" s="31">
        <v>39593</v>
      </c>
      <c r="F24" s="44">
        <v>853</v>
      </c>
      <c r="G24" s="55">
        <f t="shared" si="0"/>
        <v>68707</v>
      </c>
      <c r="H24" s="48">
        <f t="shared" si="1"/>
        <v>0.84927089206306727</v>
      </c>
      <c r="I24" s="48">
        <f t="shared" si="2"/>
        <v>6703.3970588235297</v>
      </c>
      <c r="J24" s="48">
        <f t="shared" si="3"/>
        <v>5693</v>
      </c>
      <c r="K24" s="48">
        <f t="shared" si="4"/>
        <v>11.5129189503195</v>
      </c>
      <c r="L24" s="59">
        <f t="shared" si="5"/>
        <v>1.7174753112924003E-3</v>
      </c>
      <c r="M24" s="59">
        <f t="shared" si="6"/>
        <v>2.1544212360770844E-2</v>
      </c>
      <c r="N24" s="59">
        <f t="shared" si="7"/>
        <v>7.9718640093786639E-2</v>
      </c>
    </row>
    <row r="25" spans="1:14" x14ac:dyDescent="0.15">
      <c r="A25" s="54">
        <v>44248</v>
      </c>
      <c r="B25" s="30">
        <v>39481</v>
      </c>
      <c r="C25" s="57">
        <v>29538</v>
      </c>
      <c r="D25" s="31">
        <v>6</v>
      </c>
      <c r="E25" s="31">
        <v>3299</v>
      </c>
      <c r="F25" s="44">
        <v>113</v>
      </c>
      <c r="G25" s="55">
        <f t="shared" si="0"/>
        <v>9943</v>
      </c>
      <c r="H25" s="48">
        <f t="shared" si="1"/>
        <v>0.74815734150604085</v>
      </c>
      <c r="I25" s="48">
        <f t="shared" si="2"/>
        <v>6580.166666666667</v>
      </c>
      <c r="J25" s="48">
        <f t="shared" si="3"/>
        <v>4923</v>
      </c>
      <c r="K25" s="48">
        <f t="shared" si="4"/>
        <v>11.967565929069416</v>
      </c>
      <c r="L25" s="59">
        <f t="shared" si="5"/>
        <v>1.8187329493785996E-3</v>
      </c>
      <c r="M25" s="59">
        <f t="shared" si="6"/>
        <v>3.4252803879963628E-2</v>
      </c>
      <c r="N25" s="59">
        <f t="shared" si="7"/>
        <v>5.3097345132743362E-2</v>
      </c>
    </row>
    <row r="26" spans="1:14" x14ac:dyDescent="0.15">
      <c r="A26" s="54">
        <v>44249</v>
      </c>
      <c r="B26" s="30">
        <v>95536.2</v>
      </c>
      <c r="C26" s="57">
        <v>69734</v>
      </c>
      <c r="D26" s="31">
        <v>14</v>
      </c>
      <c r="E26" s="31">
        <v>6606</v>
      </c>
      <c r="F26" s="44">
        <v>132</v>
      </c>
      <c r="G26" s="55">
        <f t="shared" si="0"/>
        <v>25802.199999999997</v>
      </c>
      <c r="H26" s="48">
        <f t="shared" si="1"/>
        <v>0.72992227030172863</v>
      </c>
      <c r="I26" s="48">
        <f t="shared" si="2"/>
        <v>6824.0142857142855</v>
      </c>
      <c r="J26" s="48">
        <f t="shared" si="3"/>
        <v>4981</v>
      </c>
      <c r="K26" s="48">
        <f t="shared" si="4"/>
        <v>14.462034514078111</v>
      </c>
      <c r="L26" s="59">
        <f t="shared" si="5"/>
        <v>2.119285498032092E-3</v>
      </c>
      <c r="M26" s="59">
        <f t="shared" si="6"/>
        <v>1.9981834695731154E-2</v>
      </c>
      <c r="N26" s="59">
        <f t="shared" si="7"/>
        <v>0.10606060606060606</v>
      </c>
    </row>
    <row r="27" spans="1:14" x14ac:dyDescent="0.15">
      <c r="A27" s="54">
        <v>44250</v>
      </c>
      <c r="B27" s="30">
        <v>19350</v>
      </c>
      <c r="C27" s="57">
        <v>12225</v>
      </c>
      <c r="D27" s="31">
        <v>3</v>
      </c>
      <c r="E27" s="31">
        <v>1641</v>
      </c>
      <c r="F27" s="44">
        <v>37</v>
      </c>
      <c r="G27" s="55">
        <f t="shared" si="0"/>
        <v>7125</v>
      </c>
      <c r="H27" s="48">
        <f t="shared" si="1"/>
        <v>0.63178294573643412</v>
      </c>
      <c r="I27" s="48">
        <f t="shared" si="2"/>
        <v>6450</v>
      </c>
      <c r="J27" s="48">
        <f t="shared" si="3"/>
        <v>4075</v>
      </c>
      <c r="K27" s="48">
        <f t="shared" si="4"/>
        <v>11.791590493601463</v>
      </c>
      <c r="L27" s="59">
        <f t="shared" si="5"/>
        <v>1.8281535648994515E-3</v>
      </c>
      <c r="M27" s="59">
        <f t="shared" si="6"/>
        <v>2.2547227300426569E-2</v>
      </c>
      <c r="N27" s="59">
        <f t="shared" si="7"/>
        <v>8.1081081081081086E-2</v>
      </c>
    </row>
    <row r="28" spans="1:14" x14ac:dyDescent="0.15">
      <c r="A28" s="54">
        <v>44251</v>
      </c>
      <c r="B28" s="30">
        <v>44347.199999999997</v>
      </c>
      <c r="C28" s="57">
        <v>34867</v>
      </c>
      <c r="D28" s="31">
        <v>7</v>
      </c>
      <c r="E28" s="31">
        <v>3297</v>
      </c>
      <c r="F28" s="44">
        <v>66</v>
      </c>
      <c r="G28" s="55">
        <f t="shared" si="0"/>
        <v>9480.1999999999971</v>
      </c>
      <c r="H28" s="48">
        <f t="shared" si="1"/>
        <v>0.78622776635277991</v>
      </c>
      <c r="I28" s="48">
        <f t="shared" si="2"/>
        <v>6335.3142857142857</v>
      </c>
      <c r="J28" s="48">
        <f t="shared" si="3"/>
        <v>4981</v>
      </c>
      <c r="K28" s="48">
        <f t="shared" si="4"/>
        <v>13.450773430391264</v>
      </c>
      <c r="L28" s="59">
        <f t="shared" si="5"/>
        <v>2.1231422505307855E-3</v>
      </c>
      <c r="M28" s="59">
        <f t="shared" si="6"/>
        <v>2.0018198362147407E-2</v>
      </c>
      <c r="N28" s="59">
        <f t="shared" si="7"/>
        <v>0.10606060606060606</v>
      </c>
    </row>
    <row r="29" spans="1:14" x14ac:dyDescent="0.15">
      <c r="A29" s="54">
        <v>44252</v>
      </c>
      <c r="B29" s="30">
        <v>10357</v>
      </c>
      <c r="C29" s="57">
        <v>9962</v>
      </c>
      <c r="D29" s="31">
        <v>2</v>
      </c>
      <c r="E29" s="31">
        <v>657</v>
      </c>
      <c r="F29" s="44">
        <v>13</v>
      </c>
      <c r="G29" s="55">
        <f t="shared" si="0"/>
        <v>395</v>
      </c>
      <c r="H29" s="48">
        <f t="shared" si="1"/>
        <v>0.96186154291783332</v>
      </c>
      <c r="I29" s="48">
        <f t="shared" si="2"/>
        <v>5178.5</v>
      </c>
      <c r="J29" s="48">
        <f t="shared" si="3"/>
        <v>4981</v>
      </c>
      <c r="K29" s="48">
        <f t="shared" si="4"/>
        <v>15.764079147640791</v>
      </c>
      <c r="L29" s="59">
        <f t="shared" si="5"/>
        <v>3.0441400304414001E-3</v>
      </c>
      <c r="M29" s="59">
        <f t="shared" si="6"/>
        <v>1.9786910197869101E-2</v>
      </c>
      <c r="N29" s="59">
        <f t="shared" si="7"/>
        <v>0.15384615384615385</v>
      </c>
    </row>
    <row r="30" spans="1:14" x14ac:dyDescent="0.15">
      <c r="A30" s="54">
        <v>44253</v>
      </c>
      <c r="B30" s="30">
        <v>17935.400000000001</v>
      </c>
      <c r="C30" s="57">
        <v>15345</v>
      </c>
      <c r="D30" s="31">
        <v>3</v>
      </c>
      <c r="E30" s="31">
        <v>1657</v>
      </c>
      <c r="F30" s="44">
        <v>33</v>
      </c>
      <c r="G30" s="55">
        <f t="shared" si="0"/>
        <v>2590.4000000000015</v>
      </c>
      <c r="H30" s="48">
        <f t="shared" si="1"/>
        <v>0.8555705476320572</v>
      </c>
      <c r="I30" s="48">
        <f t="shared" si="2"/>
        <v>5978.4666666666672</v>
      </c>
      <c r="J30" s="48">
        <f t="shared" si="3"/>
        <v>5115</v>
      </c>
      <c r="K30" s="48">
        <f t="shared" si="4"/>
        <v>10.824019312009657</v>
      </c>
      <c r="L30" s="59">
        <f t="shared" si="5"/>
        <v>1.8105009052504525E-3</v>
      </c>
      <c r="M30" s="59">
        <f t="shared" si="6"/>
        <v>1.9915509957754977E-2</v>
      </c>
      <c r="N30" s="59">
        <f t="shared" si="7"/>
        <v>9.0909090909090912E-2</v>
      </c>
    </row>
    <row r="31" spans="1:14" ht="14" x14ac:dyDescent="0.15">
      <c r="A31" s="54">
        <v>44254</v>
      </c>
      <c r="B31" s="30">
        <v>3235.77</v>
      </c>
      <c r="C31" s="57">
        <v>0</v>
      </c>
      <c r="D31" s="31">
        <v>0</v>
      </c>
      <c r="E31" s="31">
        <v>332</v>
      </c>
      <c r="F31" s="44">
        <v>13</v>
      </c>
      <c r="G31" s="55">
        <f t="shared" si="0"/>
        <v>3235.77</v>
      </c>
      <c r="H31" s="48">
        <f t="shared" si="1"/>
        <v>0</v>
      </c>
      <c r="I31" s="48" t="str">
        <f t="shared" si="2"/>
        <v>No orders</v>
      </c>
      <c r="J31" s="48" t="str">
        <f t="shared" si="3"/>
        <v>No orders</v>
      </c>
      <c r="K31" s="48">
        <f t="shared" si="4"/>
        <v>9.7462951807228908</v>
      </c>
      <c r="L31" s="59">
        <f t="shared" si="5"/>
        <v>0</v>
      </c>
      <c r="M31" s="59">
        <f t="shared" si="6"/>
        <v>3.9156626506024098E-2</v>
      </c>
      <c r="N31" s="59">
        <f t="shared" si="7"/>
        <v>0</v>
      </c>
    </row>
    <row r="32" spans="1:14" x14ac:dyDescent="0.15">
      <c r="A32" s="54">
        <v>44255</v>
      </c>
      <c r="B32" s="30">
        <v>8665.5499999999993</v>
      </c>
      <c r="C32" s="57">
        <v>5509</v>
      </c>
      <c r="D32" s="31">
        <v>1</v>
      </c>
      <c r="E32" s="31">
        <v>661</v>
      </c>
      <c r="F32" s="44">
        <v>13</v>
      </c>
      <c r="G32" s="55">
        <f t="shared" si="0"/>
        <v>3156.5499999999993</v>
      </c>
      <c r="H32" s="48">
        <f t="shared" si="1"/>
        <v>0.63573575826116058</v>
      </c>
      <c r="I32" s="48">
        <f>(B32)/(D32)</f>
        <v>8665.5499999999993</v>
      </c>
      <c r="J32" s="48">
        <f t="shared" si="3"/>
        <v>5509</v>
      </c>
      <c r="K32" s="48">
        <f t="shared" si="4"/>
        <v>13.109757942511346</v>
      </c>
      <c r="L32" s="59">
        <f t="shared" si="5"/>
        <v>1.5128593040847202E-3</v>
      </c>
      <c r="M32" s="59">
        <f t="shared" si="6"/>
        <v>1.9667170953101363E-2</v>
      </c>
      <c r="N32" s="59">
        <f t="shared" si="7"/>
        <v>7.6923076923076927E-2</v>
      </c>
    </row>
    <row r="33" spans="1:14" ht="14" x14ac:dyDescent="0.15">
      <c r="A33" s="26" t="s">
        <v>56</v>
      </c>
      <c r="B33" s="33">
        <v>4693870.97</v>
      </c>
      <c r="C33" s="58">
        <v>3463306</v>
      </c>
      <c r="D33" s="34">
        <v>688</v>
      </c>
      <c r="E33" s="34">
        <v>329973</v>
      </c>
      <c r="F33" s="45">
        <v>8428</v>
      </c>
      <c r="G33" s="55">
        <f t="shared" si="0"/>
        <v>1230564.9699999997</v>
      </c>
      <c r="H33" s="48">
        <f t="shared" si="1"/>
        <v>0.73783579099959795</v>
      </c>
      <c r="I33" s="48">
        <f>(B33)/(D33)</f>
        <v>6822.4868749999996</v>
      </c>
      <c r="J33" s="48">
        <f t="shared" si="3"/>
        <v>5033.875</v>
      </c>
      <c r="K33" s="48">
        <f t="shared" si="4"/>
        <v>14.225015289129717</v>
      </c>
      <c r="L33" s="59">
        <f t="shared" si="5"/>
        <v>2.0850190773184472E-3</v>
      </c>
      <c r="M33" s="59">
        <f t="shared" si="6"/>
        <v>2.554148369715098E-2</v>
      </c>
      <c r="N33" s="59">
        <f t="shared" si="7"/>
        <v>8.1632653061224483E-2</v>
      </c>
    </row>
  </sheetData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EA284-B42A-CE43-AD41-0657420503FE}">
  <dimension ref="A3:D33"/>
  <sheetViews>
    <sheetView zoomScale="125" workbookViewId="0">
      <selection activeCell="D3" sqref="D3"/>
    </sheetView>
  </sheetViews>
  <sheetFormatPr baseColWidth="10" defaultRowHeight="13" x14ac:dyDescent="0.15"/>
  <cols>
    <col min="1" max="1" width="16.1640625" bestFit="1" customWidth="1"/>
    <col min="2" max="2" width="10.6640625" bestFit="1" customWidth="1"/>
    <col min="3" max="3" width="13.1640625" bestFit="1" customWidth="1"/>
    <col min="4" max="4" width="11.6640625" bestFit="1" customWidth="1"/>
    <col min="5" max="11" width="10.6640625" bestFit="1" customWidth="1"/>
    <col min="12" max="12" width="10" bestFit="1" customWidth="1"/>
  </cols>
  <sheetData>
    <row r="3" spans="1:4" ht="28" x14ac:dyDescent="0.15">
      <c r="A3" s="21" t="s">
        <v>55</v>
      </c>
      <c r="B3" s="14" t="s">
        <v>70</v>
      </c>
      <c r="C3" s="42" t="s">
        <v>73</v>
      </c>
      <c r="D3" s="47" t="s">
        <v>75</v>
      </c>
    </row>
    <row r="4" spans="1:4" ht="14" x14ac:dyDescent="0.15">
      <c r="A4" s="24" t="s">
        <v>19</v>
      </c>
      <c r="B4" s="27">
        <v>4057936.51</v>
      </c>
      <c r="C4" s="49">
        <v>15311433</v>
      </c>
      <c r="D4" s="48">
        <f>C4/B4</f>
        <v>3.7732066438861067</v>
      </c>
    </row>
    <row r="5" spans="1:4" x14ac:dyDescent="0.15">
      <c r="A5" s="54">
        <v>44228</v>
      </c>
      <c r="B5" s="30">
        <v>29962.2</v>
      </c>
      <c r="C5" s="50">
        <v>84490</v>
      </c>
      <c r="D5" s="48">
        <f t="shared" ref="D5:D33" si="0">C5/B5</f>
        <v>2.8198863901849665</v>
      </c>
    </row>
    <row r="6" spans="1:4" x14ac:dyDescent="0.15">
      <c r="A6" s="54">
        <v>44229</v>
      </c>
      <c r="B6" s="30">
        <v>42301.1</v>
      </c>
      <c r="C6" s="50">
        <v>149141</v>
      </c>
      <c r="D6" s="48">
        <f t="shared" si="0"/>
        <v>3.5257002772977537</v>
      </c>
    </row>
    <row r="7" spans="1:4" x14ac:dyDescent="0.15">
      <c r="A7" s="54">
        <v>44230</v>
      </c>
      <c r="B7" s="30">
        <v>189341</v>
      </c>
      <c r="C7" s="50">
        <v>772499</v>
      </c>
      <c r="D7" s="48">
        <f t="shared" si="0"/>
        <v>4.0799351434713031</v>
      </c>
    </row>
    <row r="8" spans="1:4" x14ac:dyDescent="0.15">
      <c r="A8" s="54">
        <v>44231</v>
      </c>
      <c r="B8" s="30">
        <v>185263</v>
      </c>
      <c r="C8" s="50">
        <v>624958</v>
      </c>
      <c r="D8" s="48">
        <f t="shared" si="0"/>
        <v>3.3733557159281671</v>
      </c>
    </row>
    <row r="9" spans="1:4" x14ac:dyDescent="0.15">
      <c r="A9" s="54">
        <v>44232</v>
      </c>
      <c r="B9" s="30">
        <v>442617</v>
      </c>
      <c r="C9" s="50">
        <v>1165230</v>
      </c>
      <c r="D9" s="48">
        <f t="shared" si="0"/>
        <v>2.6325920604043676</v>
      </c>
    </row>
    <row r="10" spans="1:4" x14ac:dyDescent="0.15">
      <c r="A10" s="54">
        <v>44233</v>
      </c>
      <c r="B10" s="30">
        <v>80971.399999999994</v>
      </c>
      <c r="C10" s="50">
        <v>215487</v>
      </c>
      <c r="D10" s="48">
        <f t="shared" si="0"/>
        <v>2.6612729926863068</v>
      </c>
    </row>
    <row r="11" spans="1:4" x14ac:dyDescent="0.15">
      <c r="A11" s="54">
        <v>44234</v>
      </c>
      <c r="B11" s="30">
        <v>31680.1</v>
      </c>
      <c r="C11" s="50">
        <v>119715</v>
      </c>
      <c r="D11" s="48">
        <f t="shared" si="0"/>
        <v>3.7788706475042693</v>
      </c>
    </row>
    <row r="12" spans="1:4" x14ac:dyDescent="0.15">
      <c r="A12" s="54">
        <v>44235</v>
      </c>
      <c r="B12" s="30">
        <v>33892.6</v>
      </c>
      <c r="C12" s="50">
        <v>120176</v>
      </c>
      <c r="D12" s="48">
        <f t="shared" si="0"/>
        <v>3.5457887562476764</v>
      </c>
    </row>
    <row r="13" spans="1:4" x14ac:dyDescent="0.15">
      <c r="A13" s="54">
        <v>44236</v>
      </c>
      <c r="B13" s="30">
        <v>27833</v>
      </c>
      <c r="C13" s="50">
        <v>143658</v>
      </c>
      <c r="D13" s="48">
        <f t="shared" si="0"/>
        <v>5.1614270829590776</v>
      </c>
    </row>
    <row r="14" spans="1:4" x14ac:dyDescent="0.15">
      <c r="A14" s="54">
        <v>44237</v>
      </c>
      <c r="B14" s="30">
        <v>19831.400000000001</v>
      </c>
      <c r="C14" s="50">
        <v>130768</v>
      </c>
      <c r="D14" s="48">
        <f t="shared" si="0"/>
        <v>6.593987313049003</v>
      </c>
    </row>
    <row r="15" spans="1:4" x14ac:dyDescent="0.15">
      <c r="A15" s="54">
        <v>44238</v>
      </c>
      <c r="B15" s="30">
        <v>197161</v>
      </c>
      <c r="C15" s="50">
        <v>831820</v>
      </c>
      <c r="D15" s="48">
        <f t="shared" si="0"/>
        <v>4.2189885423587832</v>
      </c>
    </row>
    <row r="16" spans="1:4" x14ac:dyDescent="0.15">
      <c r="A16" s="54">
        <v>44239</v>
      </c>
      <c r="B16" s="30">
        <v>121652</v>
      </c>
      <c r="C16" s="50">
        <v>486841</v>
      </c>
      <c r="D16" s="48">
        <f t="shared" si="0"/>
        <v>4.0019152993785552</v>
      </c>
    </row>
    <row r="17" spans="1:4" x14ac:dyDescent="0.15">
      <c r="A17" s="54">
        <v>44240</v>
      </c>
      <c r="B17" s="30">
        <v>205045</v>
      </c>
      <c r="C17" s="50">
        <v>1296550</v>
      </c>
      <c r="D17" s="48">
        <f t="shared" si="0"/>
        <v>6.3232461167060885</v>
      </c>
    </row>
    <row r="18" spans="1:4" x14ac:dyDescent="0.15">
      <c r="A18" s="54">
        <v>44241</v>
      </c>
      <c r="B18" s="30">
        <v>231751</v>
      </c>
      <c r="C18" s="50">
        <v>733550</v>
      </c>
      <c r="D18" s="48">
        <f t="shared" si="0"/>
        <v>3.1652506353802141</v>
      </c>
    </row>
    <row r="19" spans="1:4" x14ac:dyDescent="0.15">
      <c r="A19" s="54">
        <v>44242</v>
      </c>
      <c r="B19" s="30">
        <v>151480</v>
      </c>
      <c r="C19" s="50">
        <v>782138</v>
      </c>
      <c r="D19" s="48">
        <f t="shared" si="0"/>
        <v>5.163308687615527</v>
      </c>
    </row>
    <row r="20" spans="1:4" x14ac:dyDescent="0.15">
      <c r="A20" s="54">
        <v>44243</v>
      </c>
      <c r="B20" s="30">
        <v>221258</v>
      </c>
      <c r="C20" s="50">
        <v>1021570</v>
      </c>
      <c r="D20" s="48">
        <f t="shared" si="0"/>
        <v>4.6170985907854183</v>
      </c>
    </row>
    <row r="21" spans="1:4" x14ac:dyDescent="0.15">
      <c r="A21" s="54">
        <v>44244</v>
      </c>
      <c r="B21" s="30">
        <v>363811</v>
      </c>
      <c r="C21" s="50">
        <v>1189170</v>
      </c>
      <c r="D21" s="48">
        <f t="shared" si="0"/>
        <v>3.268647731926742</v>
      </c>
    </row>
    <row r="22" spans="1:4" x14ac:dyDescent="0.15">
      <c r="A22" s="54">
        <v>44245</v>
      </c>
      <c r="B22" s="30">
        <v>86522.9</v>
      </c>
      <c r="C22" s="50">
        <v>256897</v>
      </c>
      <c r="D22" s="48">
        <f t="shared" si="0"/>
        <v>2.9691214695762627</v>
      </c>
    </row>
    <row r="23" spans="1:4" x14ac:dyDescent="0.15">
      <c r="A23" s="54">
        <v>44246</v>
      </c>
      <c r="B23" s="30">
        <v>880357</v>
      </c>
      <c r="C23" s="50">
        <v>2812520</v>
      </c>
      <c r="D23" s="48">
        <f t="shared" si="0"/>
        <v>3.1947494027990917</v>
      </c>
    </row>
    <row r="24" spans="1:4" x14ac:dyDescent="0.15">
      <c r="A24" s="54">
        <v>44247</v>
      </c>
      <c r="B24" s="30">
        <v>303860</v>
      </c>
      <c r="C24" s="50">
        <v>1452540</v>
      </c>
      <c r="D24" s="48">
        <f t="shared" si="0"/>
        <v>4.7802935562430067</v>
      </c>
    </row>
    <row r="25" spans="1:4" x14ac:dyDescent="0.15">
      <c r="A25" s="54">
        <v>44248</v>
      </c>
      <c r="B25" s="30">
        <v>30801</v>
      </c>
      <c r="C25" s="50">
        <v>159620</v>
      </c>
      <c r="D25" s="48">
        <f t="shared" si="0"/>
        <v>5.1822992759975328</v>
      </c>
    </row>
    <row r="26" spans="1:4" x14ac:dyDescent="0.15">
      <c r="A26" s="54">
        <v>44249</v>
      </c>
      <c r="B26" s="30">
        <v>77803.8</v>
      </c>
      <c r="C26" s="50">
        <v>359394</v>
      </c>
      <c r="D26" s="48">
        <f t="shared" si="0"/>
        <v>4.6192345361023497</v>
      </c>
    </row>
    <row r="27" spans="1:4" x14ac:dyDescent="0.15">
      <c r="A27" s="54">
        <v>44250</v>
      </c>
      <c r="B27" s="30">
        <v>16343</v>
      </c>
      <c r="C27" s="50">
        <v>63848</v>
      </c>
      <c r="D27" s="48">
        <f t="shared" si="0"/>
        <v>3.9067490668787861</v>
      </c>
    </row>
    <row r="28" spans="1:4" x14ac:dyDescent="0.15">
      <c r="A28" s="54">
        <v>44251</v>
      </c>
      <c r="B28" s="30">
        <v>22944.3</v>
      </c>
      <c r="C28" s="50">
        <v>111734</v>
      </c>
      <c r="D28" s="48">
        <f t="shared" si="0"/>
        <v>4.8697933691592246</v>
      </c>
    </row>
    <row r="29" spans="1:4" x14ac:dyDescent="0.15">
      <c r="A29" s="54">
        <v>44252</v>
      </c>
      <c r="B29" s="30">
        <v>9034.91</v>
      </c>
      <c r="C29" s="50">
        <v>38030</v>
      </c>
      <c r="D29" s="48">
        <f t="shared" si="0"/>
        <v>4.2092284261824409</v>
      </c>
    </row>
    <row r="30" spans="1:4" x14ac:dyDescent="0.15">
      <c r="A30" s="54">
        <v>44253</v>
      </c>
      <c r="B30" s="30">
        <v>38804.199999999997</v>
      </c>
      <c r="C30" s="50">
        <v>127696</v>
      </c>
      <c r="D30" s="48">
        <f t="shared" si="0"/>
        <v>3.2907778024028329</v>
      </c>
    </row>
    <row r="31" spans="1:4" x14ac:dyDescent="0.15">
      <c r="A31" s="54">
        <v>44254</v>
      </c>
      <c r="B31" s="30">
        <v>5721.83</v>
      </c>
      <c r="C31" s="50">
        <v>23943</v>
      </c>
      <c r="D31" s="48">
        <f t="shared" si="0"/>
        <v>4.1845004133293022</v>
      </c>
    </row>
    <row r="32" spans="1:4" x14ac:dyDescent="0.15">
      <c r="A32" s="54">
        <v>44255</v>
      </c>
      <c r="B32" s="30">
        <v>9892.77</v>
      </c>
      <c r="C32" s="50">
        <v>37450</v>
      </c>
      <c r="D32" s="48">
        <f t="shared" si="0"/>
        <v>3.7855929128039971</v>
      </c>
    </row>
    <row r="33" spans="1:4" ht="14" x14ac:dyDescent="0.15">
      <c r="A33" s="26" t="s">
        <v>56</v>
      </c>
      <c r="B33" s="33">
        <v>4057936.51</v>
      </c>
      <c r="C33" s="51">
        <v>15311433</v>
      </c>
      <c r="D33" s="48">
        <f t="shared" si="0"/>
        <v>3.7732066438861067</v>
      </c>
    </row>
  </sheetData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A5B19-4ED3-4D48-8C4C-BEE6CF5FAF1E}">
  <dimension ref="A3:F33"/>
  <sheetViews>
    <sheetView topLeftCell="A2" zoomScale="142" workbookViewId="0">
      <selection activeCell="F25" sqref="F25"/>
    </sheetView>
  </sheetViews>
  <sheetFormatPr baseColWidth="10" defaultRowHeight="13" x14ac:dyDescent="0.15"/>
  <cols>
    <col min="1" max="1" width="14.6640625" bestFit="1" customWidth="1"/>
    <col min="2" max="2" width="11" bestFit="1" customWidth="1"/>
    <col min="3" max="3" width="11.83203125" bestFit="1" customWidth="1"/>
    <col min="4" max="4" width="20" customWidth="1"/>
    <col min="5" max="5" width="22.83203125" customWidth="1"/>
    <col min="6" max="6" width="27" customWidth="1"/>
  </cols>
  <sheetData>
    <row r="3" spans="1:6" ht="28" x14ac:dyDescent="0.15">
      <c r="A3" s="21" t="s">
        <v>55</v>
      </c>
      <c r="B3" s="14" t="s">
        <v>82</v>
      </c>
      <c r="C3" s="42" t="s">
        <v>71</v>
      </c>
      <c r="D3" s="47" t="s">
        <v>107</v>
      </c>
      <c r="E3" s="52" t="s">
        <v>108</v>
      </c>
      <c r="F3" s="52" t="s">
        <v>109</v>
      </c>
    </row>
    <row r="4" spans="1:6" ht="14" x14ac:dyDescent="0.15">
      <c r="A4" s="24" t="s">
        <v>22</v>
      </c>
      <c r="B4" s="27">
        <v>10374</v>
      </c>
      <c r="C4" s="43">
        <v>313</v>
      </c>
      <c r="D4" s="59">
        <f>C4/B4</f>
        <v>3.0171582803161751E-2</v>
      </c>
      <c r="E4" s="55">
        <f>B4*3.02%</f>
        <v>313.29480000000001</v>
      </c>
      <c r="F4" s="55">
        <f>E4-C4</f>
        <v>0.29480000000000928</v>
      </c>
    </row>
    <row r="5" spans="1:6" x14ac:dyDescent="0.15">
      <c r="A5" s="54">
        <v>44247</v>
      </c>
      <c r="B5" s="30">
        <v>1224</v>
      </c>
      <c r="C5" s="44">
        <v>48</v>
      </c>
      <c r="D5" s="59">
        <f t="shared" ref="D5:D32" si="0">C5/B5</f>
        <v>3.9215686274509803E-2</v>
      </c>
      <c r="E5" s="55">
        <f t="shared" ref="E5:E32" si="1">B5*3.02%</f>
        <v>36.964800000000004</v>
      </c>
      <c r="F5" s="55">
        <f t="shared" ref="F5:F32" si="2">E5-C5</f>
        <v>-11.035199999999996</v>
      </c>
    </row>
    <row r="6" spans="1:6" x14ac:dyDescent="0.15">
      <c r="A6" s="54">
        <v>44245</v>
      </c>
      <c r="B6" s="30">
        <v>1020</v>
      </c>
      <c r="C6" s="44">
        <v>16</v>
      </c>
      <c r="D6" s="59">
        <f t="shared" si="0"/>
        <v>1.5686274509803921E-2</v>
      </c>
      <c r="E6" s="55">
        <f t="shared" si="1"/>
        <v>30.804000000000002</v>
      </c>
      <c r="F6" s="55">
        <f t="shared" si="2"/>
        <v>14.804000000000002</v>
      </c>
    </row>
    <row r="7" spans="1:6" x14ac:dyDescent="0.15">
      <c r="A7" s="54">
        <v>44244</v>
      </c>
      <c r="B7" s="30">
        <v>974</v>
      </c>
      <c r="C7" s="44">
        <v>46</v>
      </c>
      <c r="D7" s="59">
        <f t="shared" si="0"/>
        <v>4.7227926078028747E-2</v>
      </c>
      <c r="E7" s="55">
        <f t="shared" si="1"/>
        <v>29.4148</v>
      </c>
      <c r="F7" s="55">
        <f t="shared" si="2"/>
        <v>-16.5852</v>
      </c>
    </row>
    <row r="8" spans="1:6" x14ac:dyDescent="0.15">
      <c r="A8" s="54">
        <v>44241</v>
      </c>
      <c r="B8" s="30">
        <v>935</v>
      </c>
      <c r="C8" s="44">
        <v>54</v>
      </c>
      <c r="D8" s="59">
        <f t="shared" si="0"/>
        <v>5.7754010695187166E-2</v>
      </c>
      <c r="E8" s="55">
        <f t="shared" si="1"/>
        <v>28.237000000000002</v>
      </c>
      <c r="F8" s="55">
        <f t="shared" si="2"/>
        <v>-25.762999999999998</v>
      </c>
    </row>
    <row r="9" spans="1:6" x14ac:dyDescent="0.15">
      <c r="A9" s="54">
        <v>44242</v>
      </c>
      <c r="B9" s="30">
        <v>916</v>
      </c>
      <c r="C9" s="44">
        <v>11</v>
      </c>
      <c r="D9" s="59">
        <f t="shared" si="0"/>
        <v>1.2008733624454149E-2</v>
      </c>
      <c r="E9" s="55">
        <f t="shared" si="1"/>
        <v>27.6632</v>
      </c>
      <c r="F9" s="55">
        <f t="shared" si="2"/>
        <v>16.6632</v>
      </c>
    </row>
    <row r="10" spans="1:6" x14ac:dyDescent="0.15">
      <c r="A10" s="54">
        <v>44243</v>
      </c>
      <c r="B10" s="30">
        <v>816</v>
      </c>
      <c r="C10" s="44">
        <v>24</v>
      </c>
      <c r="D10" s="59">
        <f t="shared" si="0"/>
        <v>2.9411764705882353E-2</v>
      </c>
      <c r="E10" s="55">
        <f t="shared" si="1"/>
        <v>24.6432</v>
      </c>
      <c r="F10" s="55">
        <f t="shared" si="2"/>
        <v>0.64320000000000022</v>
      </c>
    </row>
    <row r="11" spans="1:6" x14ac:dyDescent="0.15">
      <c r="A11" s="54">
        <v>44232</v>
      </c>
      <c r="B11" s="30">
        <v>765</v>
      </c>
      <c r="C11" s="44">
        <v>4</v>
      </c>
      <c r="D11" s="59">
        <f t="shared" si="0"/>
        <v>5.2287581699346402E-3</v>
      </c>
      <c r="E11" s="55">
        <f t="shared" si="1"/>
        <v>23.103000000000002</v>
      </c>
      <c r="F11" s="55">
        <f t="shared" si="2"/>
        <v>19.103000000000002</v>
      </c>
    </row>
    <row r="12" spans="1:6" x14ac:dyDescent="0.15">
      <c r="A12" s="54">
        <v>44230</v>
      </c>
      <c r="B12" s="30">
        <v>592</v>
      </c>
      <c r="C12" s="44">
        <v>36</v>
      </c>
      <c r="D12" s="59">
        <f t="shared" si="0"/>
        <v>6.0810810810810814E-2</v>
      </c>
      <c r="E12" s="55">
        <f t="shared" si="1"/>
        <v>17.878399999999999</v>
      </c>
      <c r="F12" s="55">
        <f t="shared" si="2"/>
        <v>-18.121600000000001</v>
      </c>
    </row>
    <row r="13" spans="1:6" x14ac:dyDescent="0.15">
      <c r="A13" s="54">
        <v>44240</v>
      </c>
      <c r="B13" s="30">
        <v>510</v>
      </c>
      <c r="C13" s="44">
        <v>6</v>
      </c>
      <c r="D13" s="59">
        <f t="shared" si="0"/>
        <v>1.1764705882352941E-2</v>
      </c>
      <c r="E13" s="55">
        <f t="shared" si="1"/>
        <v>15.402000000000001</v>
      </c>
      <c r="F13" s="55">
        <f t="shared" si="2"/>
        <v>9.402000000000001</v>
      </c>
    </row>
    <row r="14" spans="1:6" x14ac:dyDescent="0.15">
      <c r="A14" s="54">
        <v>44231</v>
      </c>
      <c r="B14" s="30">
        <v>408</v>
      </c>
      <c r="C14" s="44">
        <v>12</v>
      </c>
      <c r="D14" s="59">
        <f t="shared" si="0"/>
        <v>2.9411764705882353E-2</v>
      </c>
      <c r="E14" s="55">
        <f t="shared" si="1"/>
        <v>12.3216</v>
      </c>
      <c r="F14" s="55">
        <f t="shared" si="2"/>
        <v>0.32160000000000011</v>
      </c>
    </row>
    <row r="15" spans="1:6" x14ac:dyDescent="0.15">
      <c r="A15" s="54">
        <v>44239</v>
      </c>
      <c r="B15" s="30">
        <v>408</v>
      </c>
      <c r="C15" s="44">
        <v>15</v>
      </c>
      <c r="D15" s="59">
        <f t="shared" si="0"/>
        <v>3.6764705882352942E-2</v>
      </c>
      <c r="E15" s="55">
        <f t="shared" si="1"/>
        <v>12.3216</v>
      </c>
      <c r="F15" s="55">
        <f t="shared" si="2"/>
        <v>-2.6783999999999999</v>
      </c>
    </row>
    <row r="16" spans="1:6" x14ac:dyDescent="0.15">
      <c r="A16" s="54">
        <v>44237</v>
      </c>
      <c r="B16" s="30">
        <v>395</v>
      </c>
      <c r="C16" s="44">
        <v>4</v>
      </c>
      <c r="D16" s="59">
        <f t="shared" si="0"/>
        <v>1.0126582278481013E-2</v>
      </c>
      <c r="E16" s="55">
        <f t="shared" si="1"/>
        <v>11.929</v>
      </c>
      <c r="F16" s="55">
        <f t="shared" si="2"/>
        <v>7.9290000000000003</v>
      </c>
    </row>
    <row r="17" spans="1:6" x14ac:dyDescent="0.15">
      <c r="A17" s="54">
        <v>44234</v>
      </c>
      <c r="B17" s="30">
        <v>199</v>
      </c>
      <c r="C17" s="44">
        <v>2</v>
      </c>
      <c r="D17" s="59">
        <f t="shared" si="0"/>
        <v>1.0050251256281407E-2</v>
      </c>
      <c r="E17" s="55">
        <f t="shared" si="1"/>
        <v>6.0098000000000003</v>
      </c>
      <c r="F17" s="55">
        <f t="shared" si="2"/>
        <v>4.0098000000000003</v>
      </c>
    </row>
    <row r="18" spans="1:6" x14ac:dyDescent="0.15">
      <c r="A18" s="54">
        <v>44246</v>
      </c>
      <c r="B18" s="30">
        <v>185</v>
      </c>
      <c r="C18" s="44">
        <v>3</v>
      </c>
      <c r="D18" s="59">
        <f t="shared" si="0"/>
        <v>1.6216216216216217E-2</v>
      </c>
      <c r="E18" s="55">
        <f t="shared" si="1"/>
        <v>5.5870000000000006</v>
      </c>
      <c r="F18" s="55">
        <f t="shared" si="2"/>
        <v>2.5870000000000006</v>
      </c>
    </row>
    <row r="19" spans="1:6" x14ac:dyDescent="0.15">
      <c r="A19" s="54">
        <v>44249</v>
      </c>
      <c r="B19" s="30">
        <v>124</v>
      </c>
      <c r="C19" s="44">
        <v>7</v>
      </c>
      <c r="D19" s="59">
        <f t="shared" si="0"/>
        <v>5.6451612903225805E-2</v>
      </c>
      <c r="E19" s="55">
        <f t="shared" si="1"/>
        <v>3.7448000000000001</v>
      </c>
      <c r="F19" s="55">
        <f t="shared" si="2"/>
        <v>-3.2551999999999999</v>
      </c>
    </row>
    <row r="20" spans="1:6" x14ac:dyDescent="0.15">
      <c r="A20" s="54">
        <v>44251</v>
      </c>
      <c r="B20" s="30">
        <v>122</v>
      </c>
      <c r="C20" s="44">
        <v>6</v>
      </c>
      <c r="D20" s="59">
        <f t="shared" si="0"/>
        <v>4.9180327868852458E-2</v>
      </c>
      <c r="E20" s="55">
        <f t="shared" si="1"/>
        <v>3.6844000000000001</v>
      </c>
      <c r="F20" s="55">
        <f t="shared" si="2"/>
        <v>-2.3155999999999999</v>
      </c>
    </row>
    <row r="21" spans="1:6" x14ac:dyDescent="0.15">
      <c r="A21" s="54">
        <v>44238</v>
      </c>
      <c r="B21" s="30">
        <v>114</v>
      </c>
      <c r="C21" s="44">
        <v>1</v>
      </c>
      <c r="D21" s="59">
        <f t="shared" si="0"/>
        <v>8.771929824561403E-3</v>
      </c>
      <c r="E21" s="55">
        <f t="shared" si="1"/>
        <v>3.4428000000000001</v>
      </c>
      <c r="F21" s="55">
        <f t="shared" si="2"/>
        <v>2.4428000000000001</v>
      </c>
    </row>
    <row r="22" spans="1:6" x14ac:dyDescent="0.15">
      <c r="A22" s="54">
        <v>44248</v>
      </c>
      <c r="B22" s="30">
        <v>102</v>
      </c>
      <c r="C22" s="44">
        <v>4</v>
      </c>
      <c r="D22" s="59">
        <f t="shared" si="0"/>
        <v>3.9215686274509803E-2</v>
      </c>
      <c r="E22" s="55">
        <f t="shared" si="1"/>
        <v>3.0804</v>
      </c>
      <c r="F22" s="55">
        <f t="shared" si="2"/>
        <v>-0.91959999999999997</v>
      </c>
    </row>
    <row r="23" spans="1:6" x14ac:dyDescent="0.15">
      <c r="A23" s="54">
        <v>44236</v>
      </c>
      <c r="B23" s="30">
        <v>102</v>
      </c>
      <c r="C23" s="44">
        <v>3</v>
      </c>
      <c r="D23" s="59">
        <f t="shared" si="0"/>
        <v>2.9411764705882353E-2</v>
      </c>
      <c r="E23" s="55">
        <f t="shared" si="1"/>
        <v>3.0804</v>
      </c>
      <c r="F23" s="55">
        <f t="shared" si="2"/>
        <v>8.0400000000000027E-2</v>
      </c>
    </row>
    <row r="24" spans="1:6" x14ac:dyDescent="0.15">
      <c r="A24" s="54">
        <v>44235</v>
      </c>
      <c r="B24" s="30">
        <v>102</v>
      </c>
      <c r="C24" s="44">
        <v>1</v>
      </c>
      <c r="D24" s="59">
        <f t="shared" si="0"/>
        <v>9.8039215686274508E-3</v>
      </c>
      <c r="E24" s="55">
        <f t="shared" si="1"/>
        <v>3.0804</v>
      </c>
      <c r="F24" s="55">
        <f t="shared" si="2"/>
        <v>2.0804</v>
      </c>
    </row>
    <row r="25" spans="1:6" x14ac:dyDescent="0.15">
      <c r="A25" s="54">
        <v>44233</v>
      </c>
      <c r="B25" s="30">
        <v>102</v>
      </c>
      <c r="C25" s="44">
        <v>5</v>
      </c>
      <c r="D25" s="59">
        <f t="shared" si="0"/>
        <v>4.9019607843137254E-2</v>
      </c>
      <c r="E25" s="55">
        <f t="shared" si="1"/>
        <v>3.0804</v>
      </c>
      <c r="F25" s="55">
        <f t="shared" si="2"/>
        <v>-1.9196</v>
      </c>
    </row>
    <row r="26" spans="1:6" x14ac:dyDescent="0.15">
      <c r="A26" s="54">
        <v>44228</v>
      </c>
      <c r="B26" s="30">
        <v>94</v>
      </c>
      <c r="C26" s="44">
        <v>1</v>
      </c>
      <c r="D26" s="59">
        <f t="shared" si="0"/>
        <v>1.0638297872340425E-2</v>
      </c>
      <c r="E26" s="55">
        <f t="shared" si="1"/>
        <v>2.8388</v>
      </c>
      <c r="F26" s="55">
        <f t="shared" si="2"/>
        <v>1.8388</v>
      </c>
    </row>
    <row r="27" spans="1:6" x14ac:dyDescent="0.15">
      <c r="A27" s="54">
        <v>44253</v>
      </c>
      <c r="B27" s="30">
        <v>73</v>
      </c>
      <c r="C27" s="44">
        <v>1</v>
      </c>
      <c r="D27" s="59">
        <f t="shared" si="0"/>
        <v>1.3698630136986301E-2</v>
      </c>
      <c r="E27" s="55">
        <f t="shared" si="1"/>
        <v>2.2046000000000001</v>
      </c>
      <c r="F27" s="55">
        <f t="shared" si="2"/>
        <v>1.2046000000000001</v>
      </c>
    </row>
    <row r="28" spans="1:6" x14ac:dyDescent="0.15">
      <c r="A28" s="54">
        <v>44250</v>
      </c>
      <c r="B28" s="30">
        <v>51</v>
      </c>
      <c r="C28" s="44">
        <v>2</v>
      </c>
      <c r="D28" s="59">
        <f t="shared" si="0"/>
        <v>3.9215686274509803E-2</v>
      </c>
      <c r="E28" s="55">
        <f t="shared" si="1"/>
        <v>1.5402</v>
      </c>
      <c r="F28" s="55">
        <f t="shared" si="2"/>
        <v>-0.45979999999999999</v>
      </c>
    </row>
    <row r="29" spans="1:6" x14ac:dyDescent="0.15">
      <c r="A29" s="54">
        <v>44252</v>
      </c>
      <c r="B29" s="30">
        <v>20</v>
      </c>
      <c r="C29" s="44">
        <v>1</v>
      </c>
      <c r="D29" s="59">
        <f t="shared" si="0"/>
        <v>0.05</v>
      </c>
      <c r="E29" s="55">
        <f t="shared" si="1"/>
        <v>0.60399999999999998</v>
      </c>
      <c r="F29" s="55">
        <f t="shared" si="2"/>
        <v>-0.39600000000000002</v>
      </c>
    </row>
    <row r="30" spans="1:6" x14ac:dyDescent="0.15">
      <c r="A30" s="54">
        <v>44229</v>
      </c>
      <c r="B30" s="30">
        <v>14</v>
      </c>
      <c r="C30" s="44">
        <v>0</v>
      </c>
      <c r="D30" s="59">
        <f t="shared" si="0"/>
        <v>0</v>
      </c>
      <c r="E30" s="55">
        <f t="shared" si="1"/>
        <v>0.42280000000000001</v>
      </c>
      <c r="F30" s="55">
        <f t="shared" si="2"/>
        <v>0.42280000000000001</v>
      </c>
    </row>
    <row r="31" spans="1:6" x14ac:dyDescent="0.15">
      <c r="A31" s="54">
        <v>44255</v>
      </c>
      <c r="B31" s="30">
        <v>4</v>
      </c>
      <c r="C31" s="44">
        <v>0</v>
      </c>
      <c r="D31" s="59">
        <f t="shared" si="0"/>
        <v>0</v>
      </c>
      <c r="E31" s="55">
        <f t="shared" si="1"/>
        <v>0.1208</v>
      </c>
      <c r="F31" s="55">
        <f t="shared" si="2"/>
        <v>0.1208</v>
      </c>
    </row>
    <row r="32" spans="1:6" x14ac:dyDescent="0.15">
      <c r="A32" s="54">
        <v>44254</v>
      </c>
      <c r="B32" s="30">
        <v>3</v>
      </c>
      <c r="C32" s="44">
        <v>0</v>
      </c>
      <c r="D32" s="59">
        <f t="shared" si="0"/>
        <v>0</v>
      </c>
      <c r="E32" s="55">
        <f t="shared" si="1"/>
        <v>9.06E-2</v>
      </c>
      <c r="F32" s="55">
        <f t="shared" si="2"/>
        <v>9.06E-2</v>
      </c>
    </row>
    <row r="33" spans="1:3" ht="14" x14ac:dyDescent="0.15">
      <c r="A33" s="26" t="s">
        <v>56</v>
      </c>
      <c r="B33" s="33">
        <v>10374</v>
      </c>
      <c r="C33" s="45">
        <v>313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Sheet1</vt:lpstr>
      <vt:lpstr>Sheet2</vt:lpstr>
      <vt:lpstr>Sheet3</vt:lpstr>
      <vt:lpstr>Cleaned_data</vt:lpstr>
      <vt:lpstr>Dashboard</vt:lpstr>
      <vt:lpstr>buget_scenarios</vt:lpstr>
      <vt:lpstr>Campaign-summary</vt:lpstr>
      <vt:lpstr>Category_analysis</vt:lpstr>
      <vt:lpstr>Daily_analysis</vt:lpstr>
      <vt:lpstr>facebook_tier2</vt:lpstr>
      <vt:lpstr>youtube_blogger</vt:lpstr>
      <vt:lpstr>instagram_tier2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2026-09-12T04:42:24Z</cp:lastPrinted>
  <dcterms:modified xsi:type="dcterms:W3CDTF">2026-09-13T01:58:50Z</dcterms:modified>
</cp:coreProperties>
</file>